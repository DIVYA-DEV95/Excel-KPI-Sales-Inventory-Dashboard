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ml.chartshap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workbookPr defaultThemeVersion="202300"/>
  <mc:AlternateContent xmlns:mc="http://schemas.openxmlformats.org/markup-compatibility/2006">
    <mc:Choice Requires="x15">
      <x15ac:absPath xmlns:x15ac="http://schemas.microsoft.com/office/spreadsheetml/2010/11/ac" url="C:\Users\Lenovo\Downloads\"/>
    </mc:Choice>
  </mc:AlternateContent>
  <xr:revisionPtr revIDLastSave="0" documentId="8_{70163461-A315-428F-9192-FBE6EB29A61D}" xr6:coauthVersionLast="47" xr6:coauthVersionMax="47" xr10:uidLastSave="{00000000-0000-0000-0000-000000000000}"/>
  <bookViews>
    <workbookView xWindow="-108" yWindow="-108" windowWidth="23256" windowHeight="12456" firstSheet="1" activeTab="1" xr2:uid="{88B4BC41-888E-44E0-B7C1-B6D7EB5216AA}"/>
  </bookViews>
  <sheets>
    <sheet name="PIVOT" sheetId="6" r:id="rId1"/>
    <sheet name="DASHBOARD" sheetId="7" r:id="rId2"/>
    <sheet name="Data" sheetId="1" r:id="rId3"/>
  </sheets>
  <externalReferences>
    <externalReference r:id="rId4"/>
  </externalReferences>
  <definedNames>
    <definedName name="_xlnm.Print_Area" localSheetId="1">DASHBOARD!$A$1:$X$39</definedName>
    <definedName name="Slicer_Business_Units">#N/A</definedName>
    <definedName name="Slicer_Name_Month">#N/A</definedName>
    <definedName name="Slicer_Name_Month1">#N/A</definedName>
    <definedName name="Slicer_Year">#N/A</definedName>
  </definedNames>
  <calcPr calcId="191029" forceFullCalc="1"/>
  <pivotCaches>
    <pivotCache cacheId="10" r:id="rId5"/>
  </pivotCaches>
  <extLst>
    <ext xmlns:x14="http://schemas.microsoft.com/office/spreadsheetml/2009/9/main" uri="{876F7934-8845-4945-9796-88D515C7AA90}">
      <x14:pivotCaches>
        <pivotCache cacheId="0" r:id="rId6"/>
      </x14:pivotCaches>
    </ext>
    <ext xmlns:x14="http://schemas.microsoft.com/office/spreadsheetml/2009/9/main" uri="{BBE1A952-AA13-448e-AADC-164F8A28A991}">
      <x14:slicerCaches>
        <x14:slicerCache r:id="rId7"/>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V16" i="6" l="1"/>
  <c r="V17" i="6"/>
  <c r="V18" i="6"/>
  <c r="G193" i="1"/>
  <c r="G192" i="1"/>
  <c r="G191" i="1"/>
  <c r="G190" i="1"/>
  <c r="G189" i="1"/>
  <c r="G188" i="1"/>
  <c r="G187" i="1"/>
  <c r="G186" i="1"/>
  <c r="G185" i="1"/>
  <c r="G184" i="1"/>
  <c r="G183" i="1"/>
  <c r="G182" i="1"/>
  <c r="G181" i="1"/>
  <c r="G180" i="1"/>
  <c r="G179" i="1"/>
  <c r="G178" i="1"/>
  <c r="G177" i="1"/>
  <c r="G176" i="1"/>
  <c r="G175" i="1"/>
  <c r="G174" i="1"/>
  <c r="G173" i="1"/>
  <c r="G172" i="1"/>
  <c r="G171" i="1"/>
  <c r="G170" i="1"/>
  <c r="G169" i="1"/>
  <c r="G168" i="1"/>
  <c r="G167" i="1"/>
  <c r="G166" i="1"/>
  <c r="G165" i="1"/>
  <c r="G164" i="1"/>
  <c r="G163" i="1"/>
  <c r="G162" i="1"/>
  <c r="G161" i="1"/>
  <c r="G160" i="1"/>
  <c r="G159" i="1"/>
  <c r="G158" i="1"/>
  <c r="G157" i="1"/>
  <c r="G156" i="1"/>
  <c r="G155" i="1"/>
  <c r="G154" i="1"/>
  <c r="G153" i="1"/>
  <c r="G152" i="1"/>
  <c r="G151" i="1"/>
  <c r="G150" i="1"/>
  <c r="G149" i="1"/>
  <c r="G148" i="1"/>
  <c r="G147" i="1"/>
  <c r="G146" i="1"/>
  <c r="G145" i="1"/>
  <c r="G144" i="1"/>
  <c r="G143" i="1"/>
  <c r="G142" i="1"/>
  <c r="G141" i="1"/>
  <c r="G140" i="1"/>
  <c r="G139" i="1"/>
  <c r="G138" i="1"/>
  <c r="G137" i="1"/>
  <c r="G136" i="1"/>
  <c r="G135" i="1"/>
  <c r="G134" i="1"/>
  <c r="G133" i="1"/>
  <c r="G132" i="1"/>
  <c r="G131" i="1"/>
  <c r="G130" i="1"/>
  <c r="G129" i="1"/>
  <c r="G128" i="1"/>
  <c r="G127" i="1"/>
  <c r="G126" i="1"/>
  <c r="G125" i="1"/>
  <c r="G124" i="1"/>
  <c r="G123" i="1"/>
  <c r="G122" i="1"/>
  <c r="G121" i="1"/>
  <c r="G120" i="1"/>
  <c r="G119" i="1"/>
  <c r="G118" i="1"/>
  <c r="G117" i="1"/>
  <c r="G116" i="1"/>
  <c r="G115" i="1"/>
  <c r="G114" i="1"/>
  <c r="G113" i="1"/>
  <c r="G112" i="1"/>
  <c r="G111" i="1"/>
  <c r="G110" i="1"/>
  <c r="G109" i="1"/>
  <c r="G108" i="1"/>
  <c r="G107" i="1"/>
  <c r="G106" i="1"/>
  <c r="G105" i="1"/>
  <c r="G104" i="1"/>
  <c r="G103" i="1"/>
  <c r="G102" i="1"/>
  <c r="G101" i="1"/>
  <c r="G100" i="1"/>
  <c r="G99" i="1"/>
  <c r="G98" i="1"/>
  <c r="G97" i="1"/>
  <c r="G96" i="1"/>
  <c r="G95" i="1"/>
  <c r="G94" i="1"/>
  <c r="G93" i="1"/>
  <c r="G92" i="1"/>
  <c r="G91" i="1"/>
  <c r="G90" i="1"/>
  <c r="G89" i="1"/>
  <c r="G88" i="1"/>
  <c r="G87" i="1"/>
  <c r="G86" i="1"/>
  <c r="G85" i="1"/>
  <c r="G84" i="1"/>
  <c r="G83" i="1"/>
  <c r="G82" i="1"/>
  <c r="G81" i="1"/>
  <c r="G80" i="1"/>
  <c r="G79" i="1"/>
  <c r="G78" i="1"/>
  <c r="G77" i="1"/>
  <c r="G76" i="1"/>
  <c r="G75" i="1"/>
  <c r="G74" i="1"/>
  <c r="G73" i="1"/>
  <c r="G72" i="1"/>
  <c r="G71" i="1"/>
  <c r="G70" i="1"/>
  <c r="G69" i="1"/>
  <c r="G68" i="1"/>
  <c r="G67" i="1"/>
  <c r="G66" i="1"/>
  <c r="G65" i="1"/>
  <c r="G64" i="1"/>
  <c r="G63" i="1"/>
  <c r="G62" i="1"/>
  <c r="G61" i="1"/>
  <c r="G60" i="1"/>
  <c r="G59" i="1"/>
  <c r="G58" i="1"/>
  <c r="G57" i="1"/>
  <c r="G56" i="1"/>
  <c r="G55" i="1"/>
  <c r="G54" i="1"/>
  <c r="G53" i="1"/>
  <c r="G52" i="1"/>
  <c r="G51" i="1"/>
  <c r="G50" i="1"/>
  <c r="G49" i="1"/>
  <c r="G48" i="1"/>
  <c r="G47" i="1"/>
  <c r="G46" i="1"/>
  <c r="G45" i="1"/>
  <c r="G44" i="1"/>
  <c r="G43" i="1"/>
  <c r="G42" i="1"/>
  <c r="G41" i="1"/>
  <c r="G40" i="1"/>
  <c r="G39" i="1"/>
  <c r="G38" i="1"/>
  <c r="G37" i="1"/>
  <c r="G36" i="1"/>
  <c r="G35" i="1"/>
  <c r="G34" i="1"/>
  <c r="G33" i="1"/>
  <c r="G32" i="1"/>
  <c r="G31" i="1"/>
  <c r="G30" i="1"/>
  <c r="G29" i="1"/>
  <c r="G28" i="1"/>
  <c r="G27" i="1"/>
  <c r="G26" i="1"/>
  <c r="G25" i="1"/>
  <c r="G24" i="1"/>
  <c r="G23" i="1"/>
  <c r="G22" i="1"/>
  <c r="G21" i="1"/>
  <c r="G20" i="1"/>
  <c r="G19" i="1"/>
  <c r="G18" i="1"/>
  <c r="G17" i="1"/>
  <c r="G16" i="1"/>
  <c r="G15" i="1"/>
  <c r="G14" i="1"/>
  <c r="G13" i="1"/>
  <c r="G12" i="1"/>
  <c r="G11" i="1"/>
  <c r="G10" i="1"/>
  <c r="G9" i="1"/>
  <c r="G8" i="1"/>
  <c r="G7" i="1"/>
  <c r="G6" i="1"/>
  <c r="G5" i="1"/>
  <c r="G4" i="1"/>
  <c r="G3" i="1"/>
  <c r="G2" i="1"/>
  <c r="T25" i="7"/>
  <c r="U27" i="6"/>
  <c r="T27" i="6" a="1"/>
  <c r="T27" i="6" s="1"/>
  <c r="U26" i="6"/>
  <c r="T26" i="6" a="1"/>
  <c r="T26" i="6" s="1"/>
  <c r="U25" i="6"/>
  <c r="U24" i="6"/>
  <c r="AL20" i="6"/>
  <c r="AM20" i="6" s="1"/>
  <c r="AF19" i="6"/>
  <c r="AL19" i="6" s="1"/>
  <c r="AM19" i="6" s="1"/>
  <c r="AF18" i="6"/>
  <c r="AL18" i="6" s="1"/>
  <c r="AM18" i="6" s="1"/>
  <c r="AF17" i="6"/>
  <c r="AL17" i="6" s="1"/>
  <c r="AM17" i="6" s="1"/>
  <c r="AF16" i="6"/>
  <c r="AL16" i="6" s="1"/>
  <c r="AM16" i="6" s="1"/>
  <c r="AL15" i="6"/>
  <c r="AM15" i="6" s="1"/>
  <c r="J9" i="6"/>
  <c r="Z11" i="6"/>
  <c r="K7" i="6"/>
  <c r="AB9" i="6"/>
  <c r="J8" i="6"/>
  <c r="Z6" i="6"/>
  <c r="AG16" i="6"/>
  <c r="K16" i="6"/>
  <c r="K8" i="6"/>
  <c r="J15" i="6"/>
  <c r="AQ14" i="6"/>
  <c r="AQ12" i="6"/>
  <c r="AB15" i="6"/>
  <c r="AQ17" i="6"/>
  <c r="Z14" i="6"/>
  <c r="J18" i="6"/>
  <c r="K10" i="6"/>
  <c r="Z12" i="6"/>
  <c r="J7" i="6"/>
  <c r="K12" i="6"/>
  <c r="K11" i="6"/>
  <c r="J12" i="6"/>
  <c r="AG18" i="6"/>
  <c r="AP15" i="6"/>
  <c r="K17" i="6"/>
  <c r="AP13" i="6"/>
  <c r="J13" i="6"/>
  <c r="AP14" i="6"/>
  <c r="N5" i="6"/>
  <c r="Z7" i="6"/>
  <c r="AB5" i="6"/>
  <c r="AQ16" i="6"/>
  <c r="AP17" i="6"/>
  <c r="AB14" i="6"/>
  <c r="AB16" i="6"/>
  <c r="Z16" i="6"/>
  <c r="K14" i="6"/>
  <c r="J11" i="6"/>
  <c r="K13" i="6"/>
  <c r="K9" i="6"/>
  <c r="AB11" i="6"/>
  <c r="J14" i="6"/>
  <c r="Z8" i="6"/>
  <c r="AB10" i="6"/>
  <c r="AP16" i="6"/>
  <c r="AQ15" i="6"/>
  <c r="K15" i="6"/>
  <c r="J17" i="6"/>
  <c r="J16" i="6"/>
  <c r="Z15" i="6"/>
  <c r="AB12" i="6"/>
  <c r="AB6" i="6"/>
  <c r="Z9" i="6"/>
  <c r="K18" i="6"/>
  <c r="AB7" i="6"/>
  <c r="J10" i="6"/>
  <c r="AP12" i="6"/>
  <c r="AQ13" i="6"/>
  <c r="Z13" i="6"/>
  <c r="Z10" i="6"/>
  <c r="AB8" i="6"/>
  <c r="AB13" i="6"/>
  <c r="AC17" i="6"/>
  <c r="Z5" i="6"/>
  <c r="U19" i="6" l="1"/>
  <c r="V19" i="6" s="1"/>
  <c r="X16" i="6"/>
  <c r="W16" i="6"/>
  <c r="T33" i="6"/>
  <c r="U33" i="6" s="1"/>
  <c r="X33" i="6" s="1"/>
  <c r="T32" i="6"/>
  <c r="V32" i="6" s="1"/>
  <c r="AD14" i="6"/>
  <c r="L16" i="6"/>
  <c r="AD12" i="6"/>
  <c r="L14" i="6"/>
  <c r="AD16" i="6"/>
  <c r="L18" i="6"/>
  <c r="T25" i="6" a="1"/>
  <c r="T25" i="6" s="1"/>
  <c r="T31" i="6" s="1"/>
  <c r="L7" i="6"/>
  <c r="K19" i="6" a="1"/>
  <c r="K19" i="6" s="1"/>
  <c r="AD6" i="6"/>
  <c r="L8" i="6"/>
  <c r="AD7" i="6"/>
  <c r="L9" i="6"/>
  <c r="AD8" i="6"/>
  <c r="L10" i="6"/>
  <c r="AD9" i="6"/>
  <c r="L11" i="6"/>
  <c r="AD10" i="6"/>
  <c r="L12" i="6"/>
  <c r="AD13" i="6"/>
  <c r="L15" i="6"/>
  <c r="L13" i="6"/>
  <c r="AD11" i="6"/>
  <c r="L17" i="6"/>
  <c r="AD15" i="6"/>
  <c r="N6" i="6"/>
  <c r="O5" i="6"/>
  <c r="Z17" i="6"/>
  <c r="J19" i="6"/>
  <c r="AH14" i="6" a="1"/>
  <c r="AJ18" i="6" s="1"/>
  <c r="AG19" i="6"/>
  <c r="AG17" i="6"/>
  <c r="U32" i="6" l="1"/>
  <c r="X32" i="6" s="1"/>
  <c r="V33" i="6"/>
  <c r="W33" i="6"/>
  <c r="AJ16" i="6"/>
  <c r="AJ17" i="6"/>
  <c r="W32" i="6"/>
  <c r="AC9" i="6"/>
  <c r="AJ19" i="6"/>
  <c r="AK17" i="6"/>
  <c r="AA17" i="6" a="1"/>
  <c r="AA17" i="6" s="1"/>
  <c r="AD5" i="6"/>
  <c r="T24" i="6" a="1"/>
  <c r="T24" i="6" s="1"/>
  <c r="T30" i="6" s="1"/>
  <c r="AK19" i="6"/>
  <c r="W31" i="6"/>
  <c r="V31" i="6"/>
  <c r="U31" i="6"/>
  <c r="X31" i="6" s="1"/>
  <c r="AI18" i="6"/>
  <c r="AI16" i="6"/>
  <c r="AK15" i="6"/>
  <c r="AI15" i="6"/>
  <c r="AK18" i="6"/>
  <c r="AI17" i="6"/>
  <c r="AK16" i="6"/>
  <c r="AI19" i="6"/>
  <c r="AJ15" i="6"/>
  <c r="AH14" i="6"/>
  <c r="Q5" i="6"/>
  <c r="P5" i="6"/>
  <c r="O6" i="6"/>
  <c r="U30" i="6" l="1"/>
  <c r="X30" i="6" s="1"/>
  <c r="W30" i="6"/>
  <c r="V30" i="6"/>
  <c r="AH15" i="6"/>
  <c r="AH19" i="6"/>
  <c r="AH18" i="6"/>
  <c r="AH17" i="6"/>
  <c r="AH16" i="6"/>
  <c r="X17" i="6"/>
  <c r="W19" i="6"/>
  <c r="T20" i="6"/>
  <c r="W20" i="6" s="1"/>
  <c r="X18" i="6"/>
  <c r="X20" i="6" l="1"/>
  <c r="W17" i="6"/>
  <c r="W18" i="6"/>
  <c r="X19" i="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<sst xmlns="http://schemas.openxmlformats.org/spreadsheetml/2006/main" count="532" uniqueCount="118">
  <si>
    <t>Year</t>
  </si>
  <si>
    <t>Month</t>
  </si>
  <si>
    <t>Name Month</t>
  </si>
  <si>
    <t>Business Units</t>
  </si>
  <si>
    <t>New Clients</t>
  </si>
  <si>
    <t>Regular Clients</t>
  </si>
  <si>
    <t>Sales</t>
  </si>
  <si>
    <t>Cost</t>
  </si>
  <si>
    <t>Storage-I</t>
  </si>
  <si>
    <t>Handling-I</t>
  </si>
  <si>
    <t>Packaging-I</t>
  </si>
  <si>
    <t>Automation-I</t>
  </si>
  <si>
    <t>Accessories-I</t>
  </si>
  <si>
    <t>Containers-I</t>
  </si>
  <si>
    <t>Storage-S</t>
  </si>
  <si>
    <t>Handling-S</t>
  </si>
  <si>
    <t>Packaging-S</t>
  </si>
  <si>
    <t>Automation-S</t>
  </si>
  <si>
    <t>Accessories-S</t>
  </si>
  <si>
    <t>Containers-S</t>
  </si>
  <si>
    <t>Quality Score</t>
  </si>
  <si>
    <t>Racking</t>
  </si>
  <si>
    <t>Shelving</t>
  </si>
  <si>
    <t>Forklifts</t>
  </si>
  <si>
    <t>Conveyors</t>
  </si>
  <si>
    <t>Packaging2</t>
  </si>
  <si>
    <t>Scanners</t>
  </si>
  <si>
    <t>Pallets</t>
  </si>
  <si>
    <t>Crates</t>
  </si>
  <si>
    <t>Docking</t>
  </si>
  <si>
    <t>Containers3</t>
  </si>
  <si>
    <t>JAN</t>
  </si>
  <si>
    <t>West Hub</t>
  </si>
  <si>
    <t>South Hub</t>
  </si>
  <si>
    <t>North Hub</t>
  </si>
  <si>
    <t>FEB</t>
  </si>
  <si>
    <t>East Hub</t>
  </si>
  <si>
    <t>MAR</t>
  </si>
  <si>
    <t>APR</t>
  </si>
  <si>
    <t>MAY</t>
  </si>
  <si>
    <t>JUN</t>
  </si>
  <si>
    <t>JUL</t>
  </si>
  <si>
    <t>AUG</t>
  </si>
  <si>
    <t>SEP</t>
  </si>
  <si>
    <t>OCT</t>
  </si>
  <si>
    <t>NOV</t>
  </si>
  <si>
    <t>DEC</t>
  </si>
  <si>
    <t>Row Labels</t>
  </si>
  <si>
    <t>Grand Total</t>
  </si>
  <si>
    <t>Sum of Sales</t>
  </si>
  <si>
    <t>Sum of Cost</t>
  </si>
  <si>
    <t>Average Check</t>
  </si>
  <si>
    <t xml:space="preserve"> New Clients</t>
  </si>
  <si>
    <t xml:space="preserve"> Sales</t>
  </si>
  <si>
    <t xml:space="preserve">  Cost</t>
  </si>
  <si>
    <t xml:space="preserve"> Avg Check</t>
  </si>
  <si>
    <t>NEW CLIENTS</t>
  </si>
  <si>
    <t xml:space="preserve">Month </t>
  </si>
  <si>
    <t>Markers</t>
  </si>
  <si>
    <t>jan</t>
  </si>
  <si>
    <t>feb</t>
  </si>
  <si>
    <t>mar</t>
  </si>
  <si>
    <t>apr</t>
  </si>
  <si>
    <t>may</t>
  </si>
  <si>
    <t>jun</t>
  </si>
  <si>
    <t>jul</t>
  </si>
  <si>
    <t>aug</t>
  </si>
  <si>
    <t>sep</t>
  </si>
  <si>
    <t>oct</t>
  </si>
  <si>
    <t>nov</t>
  </si>
  <si>
    <t>dec</t>
  </si>
  <si>
    <t>REGULAR CLIENTS</t>
  </si>
  <si>
    <t>Average of Regular Clients</t>
  </si>
  <si>
    <t>X</t>
  </si>
  <si>
    <t>Y</t>
  </si>
  <si>
    <t>BUSINESS UNITES</t>
  </si>
  <si>
    <t>DATAX</t>
  </si>
  <si>
    <t>DATA Y</t>
  </si>
  <si>
    <t>LABLES</t>
  </si>
  <si>
    <t>SALES &amp; COST BY MONTH</t>
  </si>
  <si>
    <t xml:space="preserve">SALES </t>
  </si>
  <si>
    <t>SALES L2</t>
  </si>
  <si>
    <t>COST</t>
  </si>
  <si>
    <t>DÉCOR</t>
  </si>
  <si>
    <t>MARKER</t>
  </si>
  <si>
    <t>YEAR  WISE TOTAL SALES</t>
  </si>
  <si>
    <t>YEAR</t>
  </si>
  <si>
    <t>SALES</t>
  </si>
  <si>
    <t>MARK</t>
  </si>
  <si>
    <t>LABEL</t>
  </si>
  <si>
    <t>CATEGORIES</t>
  </si>
  <si>
    <t>Sum of Storage-I</t>
  </si>
  <si>
    <t>Sum of Handling-I</t>
  </si>
  <si>
    <t>Sum of Packaging-I</t>
  </si>
  <si>
    <t>Sum of Automation-I</t>
  </si>
  <si>
    <t>Sum of Accessories-I</t>
  </si>
  <si>
    <t>Sum of Containers-I</t>
  </si>
  <si>
    <t>Sum of Storage-S</t>
  </si>
  <si>
    <t>Sum of Handling-S</t>
  </si>
  <si>
    <t>Sum of Packaging-S</t>
  </si>
  <si>
    <t>Sum of Automation-S</t>
  </si>
  <si>
    <t>Sum of Accessories-S</t>
  </si>
  <si>
    <t>Sum of Containers-S</t>
  </si>
  <si>
    <t>categories</t>
  </si>
  <si>
    <t>inventory</t>
  </si>
  <si>
    <t>sales</t>
  </si>
  <si>
    <t xml:space="preserve">KPI SALES </t>
  </si>
  <si>
    <t>KPI NEW CLIENTS</t>
  </si>
  <si>
    <t>KPI COST</t>
  </si>
  <si>
    <t xml:space="preserve">KPI AVERAGE CHECK </t>
  </si>
  <si>
    <t>FACT</t>
  </si>
  <si>
    <t>PLAN</t>
  </si>
  <si>
    <t>KPI SECTION</t>
  </si>
  <si>
    <t>LEVEL 2</t>
  </si>
  <si>
    <t>clients</t>
  </si>
  <si>
    <t>Month name</t>
  </si>
  <si>
    <t xml:space="preserve">BUSINESS UNITS  </t>
  </si>
  <si>
    <t>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</si>
</sst>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00"/>
    <numFmt numFmtId="165" formatCode="_-[$$-409]* #,##0_ ;_-[$$-409]* \-#,##0\ ;_-[$$-409]* &quot;-&quot;??_ ;_-@_ "/>
  </numFmts>
  <fonts count="5" x14ac:knownFonts="1">
    <font>
      <sz val="11"/>
      <color theme="1"/>
      <name val="Aptos Narrow"/>
      <family val="2"/>
      <scheme val="minor"/>
    </font>
    <font>
      <sz val="8"/>
      <name val="Aptos Narrow"/>
      <family val="2"/>
      <scheme val="minor"/>
    </font>
    <font>
      <sz val="10"/>
      <color theme="1"/>
      <name val="Aptos Narrow"/>
      <family val="2"/>
      <scheme val="minor"/>
    </font>
    <font>
      <sz val="11"/>
      <color theme="1"/>
      <name val="Aptos Narrow"/>
      <family val="2"/>
      <scheme val="minor"/>
    </font>
    <font>
      <b/>
      <sz val="11"/>
      <color theme="1"/>
      <name val="Aptos Narrow"/>
      <family val="2"/>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7" tint="0.59999389629810485"/>
        <bgColor indexed="64"/>
      </patternFill>
    </fill>
    <fill>
      <patternFill patternType="solid">
        <fgColor theme="0"/>
        <bgColor theme="4" tint="0.79998168889431442"/>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9" fontId="3" fillId="0" borderId="0" applyFont="0" applyFill="0" applyBorder="0" applyAlignment="0" applyProtection="0"/>
  </cellStyleXfs>
  <cellXfs count="29">
    <xf numFmtId="0" fontId="0" fillId="0" borderId="0" xfId="0"/>
    <xf numFmtId="0" fontId="0" fillId="0" borderId="0" xfId="0" pivotButton="1"/>
    <xf numFmtId="0" fontId="0" fillId="0" borderId="0" xfId="0" applyAlignment="1">
      <alignment horizontal="left"/>
    </xf>
    <xf numFmtId="3" fontId="0" fillId="0" borderId="0" xfId="0" applyNumberFormat="1"/>
    <xf numFmtId="3" fontId="0" fillId="0" borderId="1" xfId="0" applyNumberFormat="1" applyBorder="1"/>
    <xf numFmtId="0" fontId="0" fillId="0" borderId="1" xfId="0" applyBorder="1"/>
    <xf numFmtId="3" fontId="0" fillId="3" borderId="1" xfId="0" applyNumberFormat="1" applyFill="1" applyBorder="1"/>
    <xf numFmtId="0" fontId="0" fillId="3" borderId="1" xfId="0" applyFill="1" applyBorder="1"/>
    <xf numFmtId="10" fontId="0" fillId="0" borderId="0" xfId="0" applyNumberFormat="1"/>
    <xf numFmtId="0" fontId="2" fillId="0" borderId="1" xfId="0" applyFont="1" applyBorder="1"/>
    <xf numFmtId="9" fontId="0" fillId="0" borderId="1" xfId="0" applyNumberFormat="1" applyBorder="1"/>
    <xf numFmtId="164" fontId="0" fillId="0" borderId="1" xfId="0" applyNumberFormat="1" applyBorder="1"/>
    <xf numFmtId="0" fontId="0" fillId="0" borderId="1" xfId="0" applyBorder="1" applyAlignment="1">
      <alignment horizontal="left"/>
    </xf>
    <xf numFmtId="10" fontId="0" fillId="0" borderId="1" xfId="0" applyNumberFormat="1" applyBorder="1"/>
    <xf numFmtId="2" fontId="0" fillId="0" borderId="1" xfId="0" applyNumberFormat="1" applyBorder="1"/>
    <xf numFmtId="0" fontId="0" fillId="4" borderId="0" xfId="0" applyFill="1"/>
    <xf numFmtId="10" fontId="0" fillId="4" borderId="0" xfId="0" applyNumberFormat="1" applyFill="1"/>
    <xf numFmtId="2" fontId="0" fillId="4" borderId="2" xfId="0" applyNumberFormat="1" applyFill="1" applyBorder="1"/>
    <xf numFmtId="2" fontId="0" fillId="4" borderId="0" xfId="0" applyNumberFormat="1" applyFill="1"/>
    <xf numFmtId="2" fontId="0" fillId="3" borderId="1" xfId="0" applyNumberFormat="1" applyFill="1" applyBorder="1"/>
    <xf numFmtId="165" fontId="0" fillId="0" borderId="1" xfId="0" applyNumberFormat="1" applyBorder="1"/>
    <xf numFmtId="0" fontId="0" fillId="2" borderId="1" xfId="0" applyFill="1" applyBorder="1"/>
    <xf numFmtId="0" fontId="4" fillId="0" borderId="1" xfId="0" applyFont="1" applyBorder="1"/>
    <xf numFmtId="0" fontId="4" fillId="5" borderId="1" xfId="0" applyFont="1" applyFill="1" applyBorder="1"/>
    <xf numFmtId="9" fontId="0" fillId="0" borderId="1" xfId="1" applyFont="1" applyBorder="1"/>
    <xf numFmtId="0" fontId="0" fillId="0" borderId="2" xfId="0" applyBorder="1"/>
    <xf numFmtId="0" fontId="0" fillId="2" borderId="0" xfId="0" applyFill="1" applyAlignment="1">
      <alignment horizontal="center"/>
    </xf>
    <xf numFmtId="0" fontId="4" fillId="2" borderId="1" xfId="0" applyFont="1" applyFill="1" applyBorder="1" applyAlignment="1">
      <alignment horizontal="center"/>
    </xf>
    <xf numFmtId="0" fontId="0" fillId="0" borderId="0" xfId="0" applyNumberFormat="1"/>
  </cellXfs>
  <cellStyles count="2">
    <cellStyle name="Normal" xfId="0" builtinId="0"/>
    <cellStyle name="Percent" xfId="1" builtinId="5"/>
  </cellStyles>
  <dxfs count="15">
    <dxf>
      <numFmt numFmtId="3" formatCode="#,##0"/>
    </dxf>
    <dxf>
      <numFmt numFmtId="14" formatCode="0.00%"/>
    </dxf>
    <dxf>
      <numFmt numFmtId="14" formatCode="0.00%"/>
    </dxf>
    <dxf>
      <numFmt numFmtId="14" formatCode="0.00%"/>
    </dxf>
    <dxf>
      <numFmt numFmtId="3" formatCode="#,##0"/>
    </dxf>
    <dxf>
      <numFmt numFmtId="14" formatCode="0.00%"/>
    </dxf>
    <dxf>
      <numFmt numFmtId="14" formatCode="0.00%"/>
    </dxf>
    <dxf>
      <numFmt numFmtId="14" formatCode="0.00%"/>
    </dxf>
    <dxf>
      <numFmt numFmtId="0" formatCode="General"/>
    </dxf>
    <dxf>
      <numFmt numFmtId="3" formatCode="#,##0"/>
    </dxf>
    <dxf>
      <numFmt numFmtId="14" formatCode="0.00%"/>
    </dxf>
    <dxf>
      <numFmt numFmtId="14" formatCode="0.00%"/>
    </dxf>
    <dxf>
      <numFmt numFmtId="14" formatCode="0.00%"/>
    </dxf>
    <dxf>
      <numFmt numFmtId="3" formatCode="#,##0"/>
    </dxf>
    <dxf>
      <font>
        <color theme="0"/>
      </font>
      <fill>
        <patternFill>
          <bgColor theme="1"/>
        </patternFill>
      </fill>
    </dxf>
  </dxfs>
  <tableStyles count="1" defaultTableStyle="TableStyleMedium2" defaultPivotStyle="PivotStyleLight16">
    <tableStyle name="black slicer" pivot="0" table="0" count="9" xr9:uid="{E840FF19-72E0-44FA-B451-16E0B96262ED}">
      <tableStyleElement type="wholeTable" dxfId="14"/>
    </tableStyle>
  </tableStyles>
  <colors>
    <mruColors>
      <color rgb="FF49FDF9"/>
      <color rgb="FFBAE260"/>
      <color rgb="FFFFFFFF"/>
      <color rgb="FF4642DA"/>
      <color rgb="FFDFDAFA"/>
      <color rgb="FFB1EDB8"/>
      <color rgb="FFDCFBD9"/>
      <color rgb="FFDBF0F9"/>
      <color rgb="FFF2CEEE"/>
      <color rgb="FF1F7941"/>
    </mruColors>
  </colors>
  <extLst>
    <ext xmlns:x14="http://schemas.microsoft.com/office/spreadsheetml/2009/9/main" uri="{46F421CA-312F-682f-3DD2-61675219B42D}">
      <x14:dxfs count="8">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3" tint="0.499984740745262"/>
            </patternFill>
          </fill>
        </dxf>
        <dxf>
          <font>
            <color theme="0"/>
          </font>
          <fill>
            <patternFill>
              <bgColor theme="1"/>
            </patternFill>
          </fill>
        </dxf>
        <dxf>
          <font>
            <color theme="0"/>
          </font>
          <fill>
            <patternFill>
              <bgColor theme="1"/>
            </patternFill>
          </fill>
        </dxf>
      </x14:dxfs>
    </ext>
    <ext xmlns:x14="http://schemas.microsoft.com/office/spreadsheetml/2009/9/main" uri="{EB79DEF2-80B8-43e5-95BD-54CBDDF9020C}">
      <x14:slicerStyles defaultSlicerStyle="SlicerStyleLight1">
        <x14:slicerStyle name="black 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theme" Target="theme/theme1.xml"/><Relationship Id="rId5" Type="http://schemas.openxmlformats.org/officeDocument/2006/relationships/pivotCacheDefinition" Target="pivotCache/pivotCacheDefinition1.xml"/><Relationship Id="rId15" Type="http://schemas.openxmlformats.org/officeDocument/2006/relationships/calcChain" Target="calcChain.xml"/><Relationship Id="rId10" Type="http://schemas.microsoft.com/office/2007/relationships/slicerCache" Target="slicerCaches/slicerCache4.xml"/><Relationship Id="rId4" Type="http://schemas.openxmlformats.org/officeDocument/2006/relationships/externalLink" Target="externalLinks/externalLink1.xml"/><Relationship Id="rId9" Type="http://schemas.microsoft.com/office/2007/relationships/slicerCache" Target="slicerCaches/slicerCache3.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image" Target="../media/image7.png"/><Relationship Id="rId7" Type="http://schemas.openxmlformats.org/officeDocument/2006/relationships/chartUserShapes" Target="../drawings/drawing7.xml"/><Relationship Id="rId2" Type="http://schemas.microsoft.com/office/2011/relationships/chartColorStyle" Target="colors8.xml"/><Relationship Id="rId1" Type="http://schemas.microsoft.com/office/2011/relationships/chartStyle" Target="style8.xml"/><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png"/></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980112793113683"/>
          <c:y val="0.21288709725177343"/>
          <c:w val="0.56360791984779257"/>
          <c:h val="0.6999218659829386"/>
        </c:manualLayout>
      </c:layout>
      <c:doughnutChart>
        <c:varyColors val="1"/>
        <c:ser>
          <c:idx val="0"/>
          <c:order val="0"/>
          <c:spPr>
            <a:ln>
              <a:noFill/>
            </a:ln>
          </c:spPr>
          <c:dPt>
            <c:idx val="0"/>
            <c:bubble3D val="0"/>
            <c:spPr>
              <a:solidFill>
                <a:schemeClr val="accent6">
                  <a:lumMod val="40000"/>
                  <a:lumOff val="60000"/>
                </a:schemeClr>
              </a:solidFill>
              <a:ln w="19050">
                <a:noFill/>
              </a:ln>
              <a:effectLst/>
            </c:spPr>
            <c:extLst>
              <c:ext xmlns:c16="http://schemas.microsoft.com/office/drawing/2014/chart" uri="{C3380CC4-5D6E-409C-BE32-E72D297353CC}">
                <c16:uniqueId val="{00000001-0F78-4225-8D9F-5DBE1A79039C}"/>
              </c:ext>
            </c:extLst>
          </c:dPt>
          <c:dPt>
            <c:idx val="1"/>
            <c:bubble3D val="0"/>
            <c:spPr>
              <a:solidFill>
                <a:schemeClr val="accent2"/>
              </a:solidFill>
              <a:ln w="19050">
                <a:noFill/>
              </a:ln>
              <a:effectLst/>
            </c:spPr>
            <c:extLst>
              <c:ext xmlns:c16="http://schemas.microsoft.com/office/drawing/2014/chart" uri="{C3380CC4-5D6E-409C-BE32-E72D297353CC}">
                <c16:uniqueId val="{00000003-0F78-4225-8D9F-5DBE1A79039C}"/>
              </c:ext>
            </c:extLst>
          </c:dPt>
          <c:dPt>
            <c:idx val="2"/>
            <c:bubble3D val="0"/>
            <c:spPr>
              <a:solidFill>
                <a:schemeClr val="accent3"/>
              </a:solidFill>
              <a:ln w="19050">
                <a:noFill/>
              </a:ln>
              <a:effectLst/>
            </c:spPr>
            <c:extLst>
              <c:ext xmlns:c16="http://schemas.microsoft.com/office/drawing/2014/chart" uri="{C3380CC4-5D6E-409C-BE32-E72D297353CC}">
                <c16:uniqueId val="{00000005-0F78-4225-8D9F-5DBE1A79039C}"/>
              </c:ext>
            </c:extLst>
          </c:dPt>
          <c:dPt>
            <c:idx val="3"/>
            <c:bubble3D val="0"/>
            <c:spPr>
              <a:solidFill>
                <a:schemeClr val="tx1">
                  <a:lumMod val="65000"/>
                  <a:lumOff val="35000"/>
                </a:schemeClr>
              </a:solidFill>
              <a:ln w="19050">
                <a:noFill/>
              </a:ln>
              <a:effectLst/>
            </c:spPr>
            <c:extLst>
              <c:ext xmlns:c16="http://schemas.microsoft.com/office/drawing/2014/chart" uri="{C3380CC4-5D6E-409C-BE32-E72D297353CC}">
                <c16:uniqueId val="{00000007-0F78-4225-8D9F-5DBE1A79039C}"/>
              </c:ext>
            </c:extLst>
          </c:dPt>
          <c:val>
            <c:numRef>
              <c:f>PIVOT!$U$30:$X$30</c:f>
              <c:numCache>
                <c:formatCode>0%</c:formatCode>
                <c:ptCount val="4"/>
                <c:pt idx="0">
                  <c:v>0.90714285714285714</c:v>
                </c:pt>
                <c:pt idx="1">
                  <c:v>0</c:v>
                </c:pt>
                <c:pt idx="2">
                  <c:v>0</c:v>
                </c:pt>
                <c:pt idx="3">
                  <c:v>9.285714285714286E-2</c:v>
                </c:pt>
              </c:numCache>
            </c:numRef>
          </c:val>
          <c:extLst>
            <c:ext xmlns:c16="http://schemas.microsoft.com/office/drawing/2014/chart" uri="{C3380CC4-5D6E-409C-BE32-E72D297353CC}">
              <c16:uniqueId val="{00000008-0F78-4225-8D9F-5DBE1A79039C}"/>
            </c:ext>
          </c:extLst>
        </c:ser>
        <c:dLbls>
          <c:showLegendKey val="0"/>
          <c:showVal val="0"/>
          <c:showCatName val="0"/>
          <c:showSerName val="0"/>
          <c:showPercent val="0"/>
          <c:showBubbleSize val="0"/>
          <c:showLeaderLines val="1"/>
        </c:dLbls>
        <c:firstSliceAng val="0"/>
        <c:holeSize val="8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7090959774205914"/>
          <c:y val="0.17650820744404419"/>
          <c:w val="0.56360791984779257"/>
          <c:h val="0.6999218659829386"/>
        </c:manualLayout>
      </c:layout>
      <c:doughnutChart>
        <c:varyColors val="1"/>
        <c:ser>
          <c:idx val="0"/>
          <c:order val="0"/>
          <c:spPr>
            <a:ln>
              <a:noFill/>
            </a:ln>
          </c:spPr>
          <c:dPt>
            <c:idx val="0"/>
            <c:bubble3D val="0"/>
            <c:spPr>
              <a:solidFill>
                <a:srgbClr val="CC00CC"/>
              </a:solidFill>
              <a:ln w="19050">
                <a:noFill/>
              </a:ln>
              <a:effectLst/>
            </c:spPr>
            <c:extLst>
              <c:ext xmlns:c16="http://schemas.microsoft.com/office/drawing/2014/chart" uri="{C3380CC4-5D6E-409C-BE32-E72D297353CC}">
                <c16:uniqueId val="{00000001-C494-40AB-BA4C-E5FA578771F2}"/>
              </c:ext>
            </c:extLst>
          </c:dPt>
          <c:dPt>
            <c:idx val="1"/>
            <c:bubble3D val="0"/>
            <c:spPr>
              <a:solidFill>
                <a:schemeClr val="accent2"/>
              </a:solidFill>
              <a:ln w="19050">
                <a:noFill/>
              </a:ln>
              <a:effectLst/>
            </c:spPr>
            <c:extLst>
              <c:ext xmlns:c16="http://schemas.microsoft.com/office/drawing/2014/chart" uri="{C3380CC4-5D6E-409C-BE32-E72D297353CC}">
                <c16:uniqueId val="{00000003-C494-40AB-BA4C-E5FA578771F2}"/>
              </c:ext>
            </c:extLst>
          </c:dPt>
          <c:dPt>
            <c:idx val="2"/>
            <c:bubble3D val="0"/>
            <c:spPr>
              <a:solidFill>
                <a:schemeClr val="accent3"/>
              </a:solidFill>
              <a:ln w="19050">
                <a:noFill/>
              </a:ln>
              <a:effectLst/>
            </c:spPr>
            <c:extLst>
              <c:ext xmlns:c16="http://schemas.microsoft.com/office/drawing/2014/chart" uri="{C3380CC4-5D6E-409C-BE32-E72D297353CC}">
                <c16:uniqueId val="{00000005-C494-40AB-BA4C-E5FA578771F2}"/>
              </c:ext>
            </c:extLst>
          </c:dPt>
          <c:dPt>
            <c:idx val="3"/>
            <c:bubble3D val="0"/>
            <c:spPr>
              <a:solidFill>
                <a:schemeClr val="tx1">
                  <a:lumMod val="50000"/>
                  <a:lumOff val="50000"/>
                </a:schemeClr>
              </a:solidFill>
              <a:ln w="19050">
                <a:noFill/>
              </a:ln>
              <a:effectLst/>
            </c:spPr>
            <c:extLst>
              <c:ext xmlns:c16="http://schemas.microsoft.com/office/drawing/2014/chart" uri="{C3380CC4-5D6E-409C-BE32-E72D297353CC}">
                <c16:uniqueId val="{00000007-C494-40AB-BA4C-E5FA578771F2}"/>
              </c:ext>
            </c:extLst>
          </c:dPt>
          <c:val>
            <c:numRef>
              <c:f>PIVOT!$U$31:$X$31</c:f>
              <c:numCache>
                <c:formatCode>0%</c:formatCode>
                <c:ptCount val="4"/>
                <c:pt idx="0">
                  <c:v>9.375E-2</c:v>
                </c:pt>
                <c:pt idx="1">
                  <c:v>0</c:v>
                </c:pt>
                <c:pt idx="2">
                  <c:v>0</c:v>
                </c:pt>
                <c:pt idx="3">
                  <c:v>0.90625</c:v>
                </c:pt>
              </c:numCache>
            </c:numRef>
          </c:val>
          <c:extLst>
            <c:ext xmlns:c16="http://schemas.microsoft.com/office/drawing/2014/chart" uri="{C3380CC4-5D6E-409C-BE32-E72D297353CC}">
              <c16:uniqueId val="{00000008-C494-40AB-BA4C-E5FA578771F2}"/>
            </c:ext>
          </c:extLst>
        </c:ser>
        <c:dLbls>
          <c:showLegendKey val="0"/>
          <c:showVal val="0"/>
          <c:showCatName val="0"/>
          <c:showSerName val="0"/>
          <c:showPercent val="0"/>
          <c:showBubbleSize val="0"/>
          <c:showLeaderLines val="1"/>
        </c:dLbls>
        <c:firstSliceAng val="0"/>
        <c:holeSize val="8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7090959774205914"/>
          <c:y val="0.17650820744404419"/>
          <c:w val="0.56360791984779257"/>
          <c:h val="0.6999218659829386"/>
        </c:manualLayout>
      </c:layout>
      <c:doughnutChart>
        <c:varyColors val="1"/>
        <c:ser>
          <c:idx val="0"/>
          <c:order val="0"/>
          <c:spPr>
            <a:ln>
              <a:noFill/>
            </a:ln>
          </c:spPr>
          <c:dPt>
            <c:idx val="0"/>
            <c:bubble3D val="0"/>
            <c:spPr>
              <a:solidFill>
                <a:schemeClr val="accent1">
                  <a:lumMod val="20000"/>
                  <a:lumOff val="80000"/>
                </a:schemeClr>
              </a:solidFill>
              <a:ln w="19050">
                <a:noFill/>
              </a:ln>
              <a:effectLst/>
            </c:spPr>
            <c:extLst>
              <c:ext xmlns:c16="http://schemas.microsoft.com/office/drawing/2014/chart" uri="{C3380CC4-5D6E-409C-BE32-E72D297353CC}">
                <c16:uniqueId val="{00000001-37EF-4110-AC52-69BEB3BB22BF}"/>
              </c:ext>
            </c:extLst>
          </c:dPt>
          <c:dPt>
            <c:idx val="1"/>
            <c:bubble3D val="0"/>
            <c:spPr>
              <a:solidFill>
                <a:schemeClr val="accent2"/>
              </a:solidFill>
              <a:ln w="19050">
                <a:noFill/>
              </a:ln>
              <a:effectLst/>
            </c:spPr>
            <c:extLst>
              <c:ext xmlns:c16="http://schemas.microsoft.com/office/drawing/2014/chart" uri="{C3380CC4-5D6E-409C-BE32-E72D297353CC}">
                <c16:uniqueId val="{00000003-37EF-4110-AC52-69BEB3BB22BF}"/>
              </c:ext>
            </c:extLst>
          </c:dPt>
          <c:dPt>
            <c:idx val="2"/>
            <c:bubble3D val="0"/>
            <c:spPr>
              <a:solidFill>
                <a:schemeClr val="accent3"/>
              </a:solidFill>
              <a:ln w="19050">
                <a:noFill/>
              </a:ln>
              <a:effectLst/>
            </c:spPr>
            <c:extLst>
              <c:ext xmlns:c16="http://schemas.microsoft.com/office/drawing/2014/chart" uri="{C3380CC4-5D6E-409C-BE32-E72D297353CC}">
                <c16:uniqueId val="{00000005-37EF-4110-AC52-69BEB3BB22BF}"/>
              </c:ext>
            </c:extLst>
          </c:dPt>
          <c:dPt>
            <c:idx val="3"/>
            <c:bubble3D val="0"/>
            <c:spPr>
              <a:solidFill>
                <a:schemeClr val="bg2">
                  <a:lumMod val="50000"/>
                </a:schemeClr>
              </a:solidFill>
              <a:ln w="19050">
                <a:noFill/>
              </a:ln>
              <a:effectLst/>
            </c:spPr>
            <c:extLst>
              <c:ext xmlns:c16="http://schemas.microsoft.com/office/drawing/2014/chart" uri="{C3380CC4-5D6E-409C-BE32-E72D297353CC}">
                <c16:uniqueId val="{00000007-37EF-4110-AC52-69BEB3BB22BF}"/>
              </c:ext>
            </c:extLst>
          </c:dPt>
          <c:val>
            <c:numRef>
              <c:f>PIVOT!$U$32:$X$32</c:f>
              <c:numCache>
                <c:formatCode>0%</c:formatCode>
                <c:ptCount val="4"/>
                <c:pt idx="0">
                  <c:v>0.11578378378378378</c:v>
                </c:pt>
                <c:pt idx="1">
                  <c:v>0</c:v>
                </c:pt>
                <c:pt idx="2">
                  <c:v>0</c:v>
                </c:pt>
                <c:pt idx="3">
                  <c:v>0.88421621621621627</c:v>
                </c:pt>
              </c:numCache>
            </c:numRef>
          </c:val>
          <c:extLst>
            <c:ext xmlns:c16="http://schemas.microsoft.com/office/drawing/2014/chart" uri="{C3380CC4-5D6E-409C-BE32-E72D297353CC}">
              <c16:uniqueId val="{00000008-37EF-4110-AC52-69BEB3BB22BF}"/>
            </c:ext>
          </c:extLst>
        </c:ser>
        <c:dLbls>
          <c:showLegendKey val="0"/>
          <c:showVal val="0"/>
          <c:showCatName val="0"/>
          <c:showSerName val="0"/>
          <c:showPercent val="0"/>
          <c:showBubbleSize val="0"/>
          <c:showLeaderLines val="1"/>
        </c:dLbls>
        <c:firstSliceAng val="0"/>
        <c:holeSize val="8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7090959774205914"/>
          <c:y val="0.17650820744404419"/>
          <c:w val="0.56360791984779257"/>
          <c:h val="0.6999218659829386"/>
        </c:manualLayout>
      </c:layout>
      <c:doughnutChart>
        <c:varyColors val="1"/>
        <c:ser>
          <c:idx val="0"/>
          <c:order val="0"/>
          <c:spPr>
            <a:ln>
              <a:noFill/>
            </a:ln>
          </c:spPr>
          <c:dPt>
            <c:idx val="0"/>
            <c:bubble3D val="0"/>
            <c:spPr>
              <a:solidFill>
                <a:schemeClr val="tx1">
                  <a:lumMod val="75000"/>
                  <a:lumOff val="25000"/>
                </a:schemeClr>
              </a:solidFill>
              <a:ln w="19050">
                <a:noFill/>
              </a:ln>
              <a:effectLst/>
            </c:spPr>
            <c:extLst>
              <c:ext xmlns:c16="http://schemas.microsoft.com/office/drawing/2014/chart" uri="{C3380CC4-5D6E-409C-BE32-E72D297353CC}">
                <c16:uniqueId val="{00000001-55D9-4404-AEB8-B650D56D034B}"/>
              </c:ext>
            </c:extLst>
          </c:dPt>
          <c:dPt>
            <c:idx val="1"/>
            <c:bubble3D val="0"/>
            <c:spPr>
              <a:solidFill>
                <a:schemeClr val="accent2"/>
              </a:solidFill>
              <a:ln w="19050">
                <a:noFill/>
              </a:ln>
              <a:effectLst/>
            </c:spPr>
            <c:extLst>
              <c:ext xmlns:c16="http://schemas.microsoft.com/office/drawing/2014/chart" uri="{C3380CC4-5D6E-409C-BE32-E72D297353CC}">
                <c16:uniqueId val="{00000003-55D9-4404-AEB8-B650D56D034B}"/>
              </c:ext>
            </c:extLst>
          </c:dPt>
          <c:dPt>
            <c:idx val="2"/>
            <c:bubble3D val="0"/>
            <c:spPr>
              <a:solidFill>
                <a:schemeClr val="accent3"/>
              </a:solidFill>
              <a:ln w="19050">
                <a:noFill/>
              </a:ln>
              <a:effectLst/>
            </c:spPr>
            <c:extLst>
              <c:ext xmlns:c16="http://schemas.microsoft.com/office/drawing/2014/chart" uri="{C3380CC4-5D6E-409C-BE32-E72D297353CC}">
                <c16:uniqueId val="{00000005-55D9-4404-AEB8-B650D56D034B}"/>
              </c:ext>
            </c:extLst>
          </c:dPt>
          <c:dPt>
            <c:idx val="3"/>
            <c:bubble3D val="0"/>
            <c:spPr>
              <a:solidFill>
                <a:schemeClr val="accent4"/>
              </a:solidFill>
              <a:ln w="19050">
                <a:noFill/>
              </a:ln>
              <a:effectLst/>
            </c:spPr>
            <c:extLst>
              <c:ext xmlns:c16="http://schemas.microsoft.com/office/drawing/2014/chart" uri="{C3380CC4-5D6E-409C-BE32-E72D297353CC}">
                <c16:uniqueId val="{00000007-55D9-4404-AEB8-B650D56D034B}"/>
              </c:ext>
            </c:extLst>
          </c:dPt>
          <c:val>
            <c:numRef>
              <c:f>PIVOT!$U$33:$X$33</c:f>
              <c:numCache>
                <c:formatCode>0%</c:formatCode>
                <c:ptCount val="4"/>
                <c:pt idx="0">
                  <c:v>2.5000000000000001E-3</c:v>
                </c:pt>
                <c:pt idx="1">
                  <c:v>0</c:v>
                </c:pt>
                <c:pt idx="2">
                  <c:v>0</c:v>
                </c:pt>
                <c:pt idx="3">
                  <c:v>0.99750000000000005</c:v>
                </c:pt>
              </c:numCache>
            </c:numRef>
          </c:val>
          <c:extLst>
            <c:ext xmlns:c16="http://schemas.microsoft.com/office/drawing/2014/chart" uri="{C3380CC4-5D6E-409C-BE32-E72D297353CC}">
              <c16:uniqueId val="{00000008-55D9-4404-AEB8-B650D56D034B}"/>
            </c:ext>
          </c:extLst>
        </c:ser>
        <c:dLbls>
          <c:showLegendKey val="0"/>
          <c:showVal val="0"/>
          <c:showCatName val="0"/>
          <c:showSerName val="0"/>
          <c:showPercent val="0"/>
          <c:showBubbleSize val="0"/>
          <c:showLeaderLines val="1"/>
        </c:dLbls>
        <c:firstSliceAng val="0"/>
        <c:holeSize val="8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ln>
                  <a:noFill/>
                </a:ln>
                <a:solidFill>
                  <a:schemeClr val="bg1"/>
                </a:solidFill>
                <a:latin typeface="+mn-lt"/>
                <a:ea typeface="+mn-ea"/>
                <a:cs typeface="+mn-cs"/>
              </a:defRPr>
            </a:pPr>
            <a:r>
              <a:rPr lang="en-IN" b="1">
                <a:solidFill>
                  <a:schemeClr val="bg1"/>
                </a:solidFill>
              </a:rPr>
              <a:t>New</a:t>
            </a:r>
            <a:r>
              <a:rPr lang="en-IN" b="1" baseline="0">
                <a:solidFill>
                  <a:schemeClr val="bg1"/>
                </a:solidFill>
              </a:rPr>
              <a:t> clients </a:t>
            </a:r>
            <a:endParaRPr lang="en-IN" b="1">
              <a:solidFill>
                <a:schemeClr val="bg1"/>
              </a:solidFill>
            </a:endParaRPr>
          </a:p>
        </c:rich>
      </c:tx>
      <c:layout>
        <c:manualLayout>
          <c:xMode val="edge"/>
          <c:yMode val="edge"/>
          <c:x val="0.30678840096602467"/>
          <c:y val="1.2382019540884085E-2"/>
        </c:manualLayout>
      </c:layout>
      <c:overlay val="0"/>
      <c:spPr>
        <a:noFill/>
        <a:ln>
          <a:noFill/>
        </a:ln>
        <a:effectLst/>
      </c:spPr>
      <c:txPr>
        <a:bodyPr rot="0" spcFirstLastPara="1" vertOverflow="ellipsis" vert="horz" wrap="square" anchor="ctr" anchorCtr="1"/>
        <a:lstStyle/>
        <a:p>
          <a:pPr>
            <a:defRPr sz="1400" b="1" i="0" u="none" strike="noStrike" kern="1200" spc="0" baseline="0">
              <a:ln>
                <a:noFill/>
              </a:ln>
              <a:solidFill>
                <a:schemeClr val="bg1"/>
              </a:solidFill>
              <a:latin typeface="+mn-lt"/>
              <a:ea typeface="+mn-ea"/>
              <a:cs typeface="+mn-cs"/>
            </a:defRPr>
          </a:pPr>
          <a:endParaRPr lang="en-IN"/>
        </a:p>
      </c:txPr>
    </c:title>
    <c:autoTitleDeleted val="0"/>
    <c:plotArea>
      <c:layout>
        <c:manualLayout>
          <c:layoutTarget val="inner"/>
          <c:xMode val="edge"/>
          <c:yMode val="edge"/>
          <c:x val="5.7972601770366942E-2"/>
          <c:y val="0.15338640468106624"/>
          <c:w val="0.92800723275704455"/>
          <c:h val="0.69094502636711697"/>
        </c:manualLayout>
      </c:layout>
      <c:barChart>
        <c:barDir val="col"/>
        <c:grouping val="clustered"/>
        <c:varyColors val="0"/>
        <c:ser>
          <c:idx val="2"/>
          <c:order val="3"/>
          <c:tx>
            <c:v>markers 2</c:v>
          </c:tx>
          <c:spPr>
            <a:gradFill flip="none" rotWithShape="1">
              <a:gsLst>
                <a:gs pos="74000">
                  <a:schemeClr val="accent3">
                    <a:lumMod val="40000"/>
                    <a:lumOff val="60000"/>
                  </a:schemeClr>
                </a:gs>
                <a:gs pos="42000">
                  <a:schemeClr val="accent4">
                    <a:alpha val="20000"/>
                    <a:lumMod val="100000"/>
                  </a:schemeClr>
                </a:gs>
              </a:gsLst>
              <a:lin ang="2700000" scaled="1"/>
              <a:tileRect/>
            </a:gradFill>
            <a:ln>
              <a:noFill/>
            </a:ln>
            <a:effectLst/>
          </c:spPr>
          <c:invertIfNegative val="0"/>
          <c:val>
            <c:numRef>
              <c:f>PIVOT!$L$7:$L$18</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300</c:v>
                </c:pt>
              </c:numCache>
            </c:numRef>
          </c:val>
          <c:extLst>
            <c:ext xmlns:c16="http://schemas.microsoft.com/office/drawing/2014/chart" uri="{C3380CC4-5D6E-409C-BE32-E72D297353CC}">
              <c16:uniqueId val="{00000006-79A0-400B-B4CB-0428D95286E8}"/>
            </c:ext>
          </c:extLst>
        </c:ser>
        <c:dLbls>
          <c:showLegendKey val="0"/>
          <c:showVal val="0"/>
          <c:showCatName val="0"/>
          <c:showSerName val="0"/>
          <c:showPercent val="0"/>
          <c:showBubbleSize val="0"/>
        </c:dLbls>
        <c:gapWidth val="0"/>
        <c:axId val="112477727"/>
        <c:axId val="142454255"/>
      </c:barChart>
      <c:lineChart>
        <c:grouping val="standard"/>
        <c:varyColors val="0"/>
        <c:ser>
          <c:idx val="3"/>
          <c:order val="0"/>
          <c:tx>
            <c:strRef>
              <c:f>PIVOT!$J$6</c:f>
              <c:strCache>
                <c:ptCount val="1"/>
                <c:pt idx="0">
                  <c:v>clients</c:v>
                </c:pt>
              </c:strCache>
            </c:strRef>
          </c:tx>
          <c:spPr>
            <a:ln w="19050" cap="rnd">
              <a:solidFill>
                <a:schemeClr val="accent4"/>
              </a:solidFill>
              <a:round/>
            </a:ln>
            <a:effectLst/>
          </c:spPr>
          <c:marker>
            <c:symbol val="none"/>
          </c:marker>
          <c:cat>
            <c:strRef>
              <c:f>PIVOT!$I$7:$I$18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PIVOT!$J$7:$J$18</c:f>
              <c:numCache>
                <c:formatCode>General</c:formatCode>
                <c:ptCount val="12"/>
                <c:pt idx="0">
                  <c:v>280</c:v>
                </c:pt>
                <c:pt idx="1">
                  <c:v>143</c:v>
                </c:pt>
                <c:pt idx="2">
                  <c:v>176</c:v>
                </c:pt>
                <c:pt idx="3">
                  <c:v>260</c:v>
                </c:pt>
                <c:pt idx="4">
                  <c:v>192</c:v>
                </c:pt>
                <c:pt idx="5">
                  <c:v>236</c:v>
                </c:pt>
                <c:pt idx="6">
                  <c:v>408</c:v>
                </c:pt>
                <c:pt idx="7">
                  <c:v>352</c:v>
                </c:pt>
                <c:pt idx="8">
                  <c:v>220</c:v>
                </c:pt>
                <c:pt idx="9">
                  <c:v>280</c:v>
                </c:pt>
                <c:pt idx="10">
                  <c:v>232</c:v>
                </c:pt>
                <c:pt idx="11">
                  <c:v>300</c:v>
                </c:pt>
              </c:numCache>
            </c:numRef>
          </c:val>
          <c:smooth val="1"/>
          <c:extLst>
            <c:ext xmlns:c16="http://schemas.microsoft.com/office/drawing/2014/chart" uri="{C3380CC4-5D6E-409C-BE32-E72D297353CC}">
              <c16:uniqueId val="{00000000-79A0-400B-B4CB-0428D95286E8}"/>
            </c:ext>
          </c:extLst>
        </c:ser>
        <c:ser>
          <c:idx val="1"/>
          <c:order val="1"/>
          <c:tx>
            <c:strRef>
              <c:f>PIVOT!$K$6</c:f>
              <c:strCache>
                <c:ptCount val="1"/>
                <c:pt idx="0">
                  <c:v>LEVEL 2</c:v>
                </c:pt>
              </c:strCache>
            </c:strRef>
          </c:tx>
          <c:spPr>
            <a:ln w="28575" cap="rnd">
              <a:solidFill>
                <a:schemeClr val="accent2"/>
              </a:solidFill>
              <a:round/>
            </a:ln>
            <a:effectLst/>
          </c:spPr>
          <c:marker>
            <c:symbol val="none"/>
          </c:marker>
          <c:cat>
            <c:strRef>
              <c:f>PIVOT!$I$7:$I$18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PIVOT!$K$7:$K$18</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300</c:v>
                </c:pt>
              </c:numCache>
            </c:numRef>
          </c:val>
          <c:smooth val="0"/>
          <c:extLst>
            <c:ext xmlns:c16="http://schemas.microsoft.com/office/drawing/2014/chart" uri="{C3380CC4-5D6E-409C-BE32-E72D297353CC}">
              <c16:uniqueId val="{00000001-79A0-400B-B4CB-0428D95286E8}"/>
            </c:ext>
          </c:extLst>
        </c:ser>
        <c:dLbls>
          <c:showLegendKey val="0"/>
          <c:showVal val="0"/>
          <c:showCatName val="0"/>
          <c:showSerName val="0"/>
          <c:showPercent val="0"/>
          <c:showBubbleSize val="0"/>
        </c:dLbls>
        <c:marker val="1"/>
        <c:smooth val="0"/>
        <c:axId val="112477727"/>
        <c:axId val="142454255"/>
      </c:lineChart>
      <c:scatterChart>
        <c:scatterStyle val="lineMarker"/>
        <c:varyColors val="0"/>
        <c:ser>
          <c:idx val="0"/>
          <c:order val="2"/>
          <c:tx>
            <c:strRef>
              <c:f>PIVOT!$L$6</c:f>
              <c:strCache>
                <c:ptCount val="1"/>
                <c:pt idx="0">
                  <c:v>Markers</c:v>
                </c:pt>
              </c:strCache>
            </c:strRef>
          </c:tx>
          <c:spPr>
            <a:ln w="28575" cap="rnd">
              <a:gradFill>
                <a:gsLst>
                  <a:gs pos="37000">
                    <a:srgbClr val="7030A0"/>
                  </a:gs>
                  <a:gs pos="0">
                    <a:srgbClr val="92D050"/>
                  </a:gs>
                  <a:gs pos="70000">
                    <a:srgbClr val="00B050"/>
                  </a:gs>
                  <a:gs pos="0">
                    <a:srgbClr val="00B050"/>
                  </a:gs>
                </a:gsLst>
                <a:lin ang="5400000" scaled="1"/>
              </a:gradFill>
              <a:round/>
            </a:ln>
            <a:effectLst/>
          </c:spPr>
          <c:marker>
            <c:symbol val="circle"/>
            <c:size val="8"/>
            <c:spPr>
              <a:solidFill>
                <a:schemeClr val="accent1">
                  <a:lumMod val="40000"/>
                  <a:lumOff val="60000"/>
                </a:schemeClr>
              </a:solidFill>
              <a:ln w="9525">
                <a:solidFill>
                  <a:schemeClr val="bg1"/>
                </a:solidFill>
              </a:ln>
              <a:effectLst/>
            </c:spPr>
          </c:marker>
          <c:dPt>
            <c:idx val="5"/>
            <c:marker>
              <c:symbol val="circle"/>
              <c:size val="8"/>
              <c:spPr>
                <a:solidFill>
                  <a:schemeClr val="accent1">
                    <a:lumMod val="40000"/>
                    <a:lumOff val="60000"/>
                  </a:schemeClr>
                </a:solidFill>
                <a:ln w="9525">
                  <a:solidFill>
                    <a:schemeClr val="bg1"/>
                  </a:solidFill>
                </a:ln>
                <a:effectLst/>
              </c:spPr>
            </c:marker>
            <c:bubble3D val="0"/>
            <c:spPr>
              <a:ln w="28575" cap="rnd">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extLst>
              <c:ext xmlns:c16="http://schemas.microsoft.com/office/drawing/2014/chart" uri="{C3380CC4-5D6E-409C-BE32-E72D297353CC}">
                <c16:uniqueId val="{00000005-79A0-400B-B4CB-0428D95286E8}"/>
              </c:ext>
            </c:extLst>
          </c:dPt>
          <c:dLbls>
            <c:spPr>
              <a:solidFill>
                <a:srgbClr val="B2B2B2"/>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ln>
                      <a:noFill/>
                    </a:ln>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errBars>
            <c:errDir val="y"/>
            <c:errBarType val="both"/>
            <c:errValType val="cust"/>
            <c:noEndCap val="1"/>
            <c:plus>
              <c:numLit>
                <c:formatCode>General</c:formatCode>
                <c:ptCount val="1"/>
                <c:pt idx="0">
                  <c:v>1</c:v>
                </c:pt>
              </c:numLit>
            </c:plus>
            <c:minus>
              <c:numRef>
                <c:f>PIVOT!$L$7:$L$18</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300</c:v>
                  </c:pt>
                </c:numCache>
              </c:numRef>
            </c:minus>
            <c:spPr>
              <a:noFill/>
              <a:ln w="9525" cap="flat" cmpd="sng" algn="ctr">
                <a:solidFill>
                  <a:schemeClr val="bg1"/>
                </a:solidFill>
                <a:round/>
              </a:ln>
              <a:effectLst/>
            </c:spPr>
          </c:errBars>
          <c:xVal>
            <c:strRef>
              <c:f>PIVOT!$I$6:$I$18</c:f>
              <c:strCache>
                <c:ptCount val="13"/>
                <c:pt idx="0">
                  <c:v>Month name</c:v>
                </c:pt>
                <c:pt idx="1">
                  <c:v>jan</c:v>
                </c:pt>
                <c:pt idx="2">
                  <c:v>feb</c:v>
                </c:pt>
                <c:pt idx="3">
                  <c:v>mar</c:v>
                </c:pt>
                <c:pt idx="4">
                  <c:v>apr</c:v>
                </c:pt>
                <c:pt idx="5">
                  <c:v>may</c:v>
                </c:pt>
                <c:pt idx="6">
                  <c:v>jun</c:v>
                </c:pt>
                <c:pt idx="7">
                  <c:v>jul</c:v>
                </c:pt>
                <c:pt idx="8">
                  <c:v>aug</c:v>
                </c:pt>
                <c:pt idx="9">
                  <c:v>sep</c:v>
                </c:pt>
                <c:pt idx="10">
                  <c:v>oct</c:v>
                </c:pt>
                <c:pt idx="11">
                  <c:v>nov</c:v>
                </c:pt>
                <c:pt idx="12">
                  <c:v>dec</c:v>
                </c:pt>
              </c:strCache>
            </c:strRef>
          </c:xVal>
          <c:yVal>
            <c:numRef>
              <c:f>PIVOT!$L$7:$L$18</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300</c:v>
                </c:pt>
              </c:numCache>
            </c:numRef>
          </c:yVal>
          <c:smooth val="0"/>
          <c:extLst>
            <c:ext xmlns:c16="http://schemas.microsoft.com/office/drawing/2014/chart" uri="{C3380CC4-5D6E-409C-BE32-E72D297353CC}">
              <c16:uniqueId val="{00000002-79A0-400B-B4CB-0428D95286E8}"/>
            </c:ext>
          </c:extLst>
        </c:ser>
        <c:dLbls>
          <c:showLegendKey val="0"/>
          <c:showVal val="0"/>
          <c:showCatName val="0"/>
          <c:showSerName val="0"/>
          <c:showPercent val="0"/>
          <c:showBubbleSize val="0"/>
        </c:dLbls>
        <c:axId val="112477727"/>
        <c:axId val="142454255"/>
      </c:scatterChart>
      <c:catAx>
        <c:axId val="112477727"/>
        <c:scaling>
          <c:orientation val="minMax"/>
        </c:scaling>
        <c:delete val="0"/>
        <c:axPos val="b"/>
        <c:numFmt formatCode="General" sourceLinked="1"/>
        <c:majorTickMark val="none"/>
        <c:minorTickMark val="none"/>
        <c:tickLblPos val="nextTo"/>
        <c:spPr>
          <a:noFill/>
          <a:ln w="9525" cap="flat" cmpd="sng" algn="ctr">
            <a:solidFill>
              <a:schemeClr val="bg1"/>
            </a:solidFill>
            <a:round/>
          </a:ln>
          <a:effectLst/>
        </c:spPr>
        <c:txPr>
          <a:bodyPr rot="-60000000" spcFirstLastPara="1" vertOverflow="ellipsis" vert="horz" wrap="square" anchor="ctr" anchorCtr="1"/>
          <a:lstStyle/>
          <a:p>
            <a:pPr>
              <a:defRPr sz="1200" b="1" i="0" u="none" strike="noStrike" kern="1200" baseline="0">
                <a:ln>
                  <a:noFill/>
                </a:ln>
                <a:solidFill>
                  <a:schemeClr val="bg1"/>
                </a:solidFill>
                <a:latin typeface="+mn-lt"/>
                <a:ea typeface="+mn-ea"/>
                <a:cs typeface="+mn-cs"/>
              </a:defRPr>
            </a:pPr>
            <a:endParaRPr lang="en-US"/>
          </a:p>
        </c:txPr>
        <c:crossAx val="142454255"/>
        <c:crosses val="autoZero"/>
        <c:auto val="1"/>
        <c:lblAlgn val="ctr"/>
        <c:lblOffset val="100"/>
        <c:noMultiLvlLbl val="0"/>
      </c:catAx>
      <c:valAx>
        <c:axId val="142454255"/>
        <c:scaling>
          <c:orientation val="minMax"/>
        </c:scaling>
        <c:delete val="0"/>
        <c:axPos val="l"/>
        <c:majorGridlines>
          <c:spPr>
            <a:ln w="9525" cap="flat" cmpd="sng" algn="ctr">
              <a:solidFill>
                <a:schemeClr val="accent1">
                  <a:shade val="15000"/>
                  <a:alpha val="0"/>
                </a:schemeClr>
              </a:solidFill>
              <a:round/>
            </a:ln>
            <a:effectLst>
              <a:softEdge rad="0"/>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ln>
                  <a:noFill/>
                </a:ln>
                <a:solidFill>
                  <a:schemeClr val="bg1"/>
                </a:solidFill>
                <a:latin typeface="+mn-lt"/>
                <a:ea typeface="+mn-ea"/>
                <a:cs typeface="+mn-cs"/>
              </a:defRPr>
            </a:pPr>
            <a:endParaRPr lang="en-US"/>
          </a:p>
        </c:txPr>
        <c:crossAx val="112477727"/>
        <c:crosses val="autoZero"/>
        <c:crossBetween val="between"/>
      </c:valAx>
      <c:spPr>
        <a:solidFill>
          <a:schemeClr val="tx1"/>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31000">
          <a:schemeClr val="tx1"/>
        </a:gs>
        <a:gs pos="18000">
          <a:schemeClr val="tx1"/>
        </a:gs>
      </a:gsLst>
      <a:lin ang="5400000" scaled="1"/>
    </a:gradFill>
    <a:ln w="9525" cap="flat" cmpd="sng" algn="ctr">
      <a:solidFill>
        <a:schemeClr val="tx1">
          <a:alpha val="78000"/>
        </a:schemeClr>
      </a:solidFill>
      <a:round/>
    </a:ln>
    <a:effectLst/>
  </c:spPr>
  <c:txPr>
    <a:bodyPr/>
    <a:lstStyle/>
    <a:p>
      <a:pPr>
        <a:defRPr>
          <a:ln>
            <a:noFill/>
          </a:ln>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bg1"/>
                </a:solidFill>
              </a:rPr>
              <a:t>Regular</a:t>
            </a:r>
            <a:r>
              <a:rPr lang="en-IN" b="1" baseline="0">
                <a:solidFill>
                  <a:schemeClr val="bg1"/>
                </a:solidFill>
              </a:rPr>
              <a:t> clients </a:t>
            </a:r>
            <a:endParaRPr lang="en-IN" b="1">
              <a:solidFill>
                <a:schemeClr val="bg1"/>
              </a:solidFill>
            </a:endParaRPr>
          </a:p>
        </c:rich>
      </c:tx>
      <c:overlay val="0"/>
      <c:spPr>
        <a:solidFill>
          <a:schemeClr val="tx1"/>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doughnutChart>
        <c:varyColors val="1"/>
        <c:ser>
          <c:idx val="0"/>
          <c:order val="0"/>
          <c:spPr>
            <a:gradFill flip="none" rotWithShape="1">
              <a:gsLst>
                <a:gs pos="73000">
                  <a:schemeClr val="accent1">
                    <a:lumMod val="60000"/>
                    <a:lumOff val="40000"/>
                  </a:schemeClr>
                </a:gs>
                <a:gs pos="100000">
                  <a:schemeClr val="accent1">
                    <a:lumMod val="45000"/>
                    <a:lumOff val="55000"/>
                  </a:schemeClr>
                </a:gs>
                <a:gs pos="42000">
                  <a:srgbClr val="1F7941">
                    <a:alpha val="80000"/>
                  </a:srgbClr>
                </a:gs>
              </a:gsLst>
              <a:lin ang="2700000" scaled="1"/>
              <a:tileRect/>
            </a:gradFill>
            <a:ln>
              <a:solidFill>
                <a:schemeClr val="tx1">
                  <a:alpha val="39000"/>
                </a:schemeClr>
              </a:solidFill>
            </a:ln>
          </c:spPr>
          <c:dPt>
            <c:idx val="0"/>
            <c:bubble3D val="0"/>
            <c:spPr>
              <a:gradFill flip="none" rotWithShape="1">
                <a:gsLst>
                  <a:gs pos="73000">
                    <a:schemeClr val="accent1">
                      <a:lumMod val="60000"/>
                      <a:lumOff val="40000"/>
                    </a:schemeClr>
                  </a:gs>
                  <a:gs pos="100000">
                    <a:schemeClr val="accent1">
                      <a:lumMod val="45000"/>
                      <a:lumOff val="55000"/>
                    </a:schemeClr>
                  </a:gs>
                  <a:gs pos="42000">
                    <a:srgbClr val="1F7941">
                      <a:alpha val="80000"/>
                    </a:srgbClr>
                  </a:gs>
                </a:gsLst>
                <a:lin ang="2700000" scaled="1"/>
                <a:tileRect/>
              </a:gradFill>
              <a:ln w="19050">
                <a:solidFill>
                  <a:schemeClr val="tx1">
                    <a:alpha val="39000"/>
                  </a:schemeClr>
                </a:solidFill>
              </a:ln>
              <a:effectLst/>
            </c:spPr>
            <c:extLst>
              <c:ext xmlns:c16="http://schemas.microsoft.com/office/drawing/2014/chart" uri="{C3380CC4-5D6E-409C-BE32-E72D297353CC}">
                <c16:uniqueId val="{00000001-4412-46A9-B2F6-380EBB545F79}"/>
              </c:ext>
            </c:extLst>
          </c:dPt>
          <c:dPt>
            <c:idx val="1"/>
            <c:bubble3D val="0"/>
            <c:spPr>
              <a:gradFill flip="none" rotWithShape="1">
                <a:gsLst>
                  <a:gs pos="73000">
                    <a:schemeClr val="accent1">
                      <a:lumMod val="60000"/>
                      <a:lumOff val="40000"/>
                    </a:schemeClr>
                  </a:gs>
                  <a:gs pos="100000">
                    <a:schemeClr val="accent1">
                      <a:lumMod val="45000"/>
                      <a:lumOff val="55000"/>
                    </a:schemeClr>
                  </a:gs>
                  <a:gs pos="42000">
                    <a:srgbClr val="1F7941">
                      <a:alpha val="80000"/>
                    </a:srgbClr>
                  </a:gs>
                </a:gsLst>
                <a:lin ang="2700000" scaled="1"/>
                <a:tileRect/>
              </a:gradFill>
              <a:ln w="19050">
                <a:solidFill>
                  <a:schemeClr val="tx1">
                    <a:alpha val="39000"/>
                  </a:schemeClr>
                </a:solidFill>
              </a:ln>
              <a:effectLst/>
            </c:spPr>
            <c:extLst>
              <c:ext xmlns:c16="http://schemas.microsoft.com/office/drawing/2014/chart" uri="{C3380CC4-5D6E-409C-BE32-E72D297353CC}">
                <c16:uniqueId val="{00000003-4412-46A9-B2F6-380EBB545F79}"/>
              </c:ext>
            </c:extLst>
          </c:dPt>
          <c:val>
            <c:numRef>
              <c:f>PIVOT!$N$5:$O$5</c:f>
              <c:numCache>
                <c:formatCode>0%</c:formatCode>
                <c:ptCount val="2"/>
                <c:pt idx="0">
                  <c:v>0.45499999999999996</c:v>
                </c:pt>
                <c:pt idx="1">
                  <c:v>0.54500000000000004</c:v>
                </c:pt>
              </c:numCache>
            </c:numRef>
          </c:val>
          <c:extLst>
            <c:ext xmlns:c16="http://schemas.microsoft.com/office/drawing/2014/chart" uri="{C3380CC4-5D6E-409C-BE32-E72D297353CC}">
              <c16:uniqueId val="{00000004-4412-46A9-B2F6-380EBB545F79}"/>
            </c:ext>
          </c:extLst>
        </c:ser>
        <c:dLbls>
          <c:showLegendKey val="0"/>
          <c:showVal val="0"/>
          <c:showCatName val="0"/>
          <c:showSerName val="0"/>
          <c:showPercent val="0"/>
          <c:showBubbleSize val="0"/>
          <c:showLeaderLines val="1"/>
        </c:dLbls>
        <c:firstSliceAng val="30"/>
        <c:holeSize val="90"/>
      </c:doughnutChart>
      <c:scatterChart>
        <c:scatterStyle val="lineMarker"/>
        <c:varyColors val="0"/>
        <c:ser>
          <c:idx val="1"/>
          <c:order val="1"/>
          <c:tx>
            <c:v>markers</c:v>
          </c:tx>
          <c:spPr>
            <a:ln w="25400" cap="rnd">
              <a:noFill/>
              <a:round/>
            </a:ln>
            <a:effectLst>
              <a:glow rad="228600">
                <a:srgbClr val="FFFF00"/>
              </a:glow>
            </a:effectLst>
          </c:spPr>
          <c:marker>
            <c:symbol val="circle"/>
            <c:size val="6"/>
            <c:spPr>
              <a:solidFill>
                <a:schemeClr val="bg1"/>
              </a:solidFill>
              <a:ln w="9525">
                <a:noFill/>
              </a:ln>
              <a:effectLst>
                <a:glow rad="228600">
                  <a:srgbClr val="FFFF00"/>
                </a:glow>
              </a:effectLst>
            </c:spPr>
          </c:marker>
          <c:xVal>
            <c:numRef>
              <c:f>PIVOT!$P$5</c:f>
              <c:numCache>
                <c:formatCode>0.000</c:formatCode>
                <c:ptCount val="1"/>
                <c:pt idx="0">
                  <c:v>-0.23853345757858088</c:v>
                </c:pt>
              </c:numCache>
            </c:numRef>
          </c:xVal>
          <c:yVal>
            <c:numRef>
              <c:f>PIVOT!$Q$5</c:f>
              <c:numCache>
                <c:formatCode>0.000</c:formatCode>
                <c:ptCount val="1"/>
                <c:pt idx="0">
                  <c:v>-0.97113427990963608</c:v>
                </c:pt>
              </c:numCache>
            </c:numRef>
          </c:yVal>
          <c:smooth val="0"/>
          <c:extLst>
            <c:ext xmlns:c16="http://schemas.microsoft.com/office/drawing/2014/chart" uri="{C3380CC4-5D6E-409C-BE32-E72D297353CC}">
              <c16:uniqueId val="{00000005-4412-46A9-B2F6-380EBB545F79}"/>
            </c:ext>
          </c:extLst>
        </c:ser>
        <c:dLbls>
          <c:showLegendKey val="0"/>
          <c:showVal val="0"/>
          <c:showCatName val="0"/>
          <c:showSerName val="0"/>
          <c:showPercent val="0"/>
          <c:showBubbleSize val="0"/>
        </c:dLbls>
        <c:axId val="1894175472"/>
        <c:axId val="1894167312"/>
      </c:scatterChart>
      <c:valAx>
        <c:axId val="1894167312"/>
        <c:scaling>
          <c:orientation val="minMax"/>
          <c:max val="1.05"/>
          <c:min val="-1.05"/>
        </c:scaling>
        <c:delete val="1"/>
        <c:axPos val="l"/>
        <c:numFmt formatCode="0.000" sourceLinked="1"/>
        <c:majorTickMark val="out"/>
        <c:minorTickMark val="none"/>
        <c:tickLblPos val="nextTo"/>
        <c:crossAx val="1894175472"/>
        <c:crosses val="autoZero"/>
        <c:crossBetween val="midCat"/>
      </c:valAx>
      <c:valAx>
        <c:axId val="1894175472"/>
        <c:scaling>
          <c:orientation val="minMax"/>
          <c:max val="1.05"/>
          <c:min val="-1.05"/>
        </c:scaling>
        <c:delete val="1"/>
        <c:axPos val="b"/>
        <c:numFmt formatCode="0.000" sourceLinked="1"/>
        <c:majorTickMark val="out"/>
        <c:minorTickMark val="none"/>
        <c:tickLblPos val="nextTo"/>
        <c:crossAx val="1894167312"/>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bg2">
            <a:lumMod val="90000"/>
          </a:schemeClr>
        </a:gs>
        <a:gs pos="66000">
          <a:schemeClr val="tx1"/>
        </a:gs>
        <a:gs pos="0">
          <a:schemeClr val="tx1"/>
        </a:gs>
        <a:gs pos="92000">
          <a:schemeClr val="tx1"/>
        </a:gs>
      </a:gsLst>
      <a:lin ang="2700000" scaled="1"/>
    </a:gra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a:solidFill>
                  <a:schemeClr val="bg1"/>
                </a:solidFill>
              </a:rPr>
              <a:t>Total</a:t>
            </a:r>
            <a:r>
              <a:rPr lang="en-IN" sz="1400" b="1" baseline="0">
                <a:solidFill>
                  <a:schemeClr val="bg1"/>
                </a:solidFill>
              </a:rPr>
              <a:t> Year Wise Sales</a:t>
            </a:r>
            <a:endParaRPr lang="en-IN" sz="1400" b="1">
              <a:solidFill>
                <a:schemeClr val="bg1"/>
              </a:solidFill>
            </a:endParaRPr>
          </a:p>
        </c:rich>
      </c:tx>
      <c:layout>
        <c:manualLayout>
          <c:xMode val="edge"/>
          <c:yMode val="edge"/>
          <c:x val="5.9475662133142433E-2"/>
          <c:y val="3.5714285714285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manualLayout>
          <c:layoutTarget val="inner"/>
          <c:xMode val="edge"/>
          <c:yMode val="edge"/>
          <c:x val="5.1319648093841645E-2"/>
          <c:y val="0.1910119047619048"/>
          <c:w val="0.89002932551319647"/>
          <c:h val="0.6066071428571429"/>
        </c:manualLayout>
      </c:layout>
      <c:areaChart>
        <c:grouping val="standard"/>
        <c:varyColors val="0"/>
        <c:ser>
          <c:idx val="0"/>
          <c:order val="0"/>
          <c:tx>
            <c:strRef>
              <c:f>PIVOT!$AH$14</c:f>
              <c:strCache>
                <c:ptCount val="1"/>
                <c:pt idx="0">
                  <c:v>2023</c:v>
                </c:pt>
              </c:strCache>
            </c:strRef>
          </c:tx>
          <c:spPr>
            <a:gradFill>
              <a:gsLst>
                <a:gs pos="70000">
                  <a:schemeClr val="accent6">
                    <a:lumMod val="40000"/>
                    <a:lumOff val="60000"/>
                  </a:schemeClr>
                </a:gs>
                <a:gs pos="100000">
                  <a:schemeClr val="accent6">
                    <a:lumMod val="20000"/>
                    <a:lumOff val="80000"/>
                  </a:schemeClr>
                </a:gs>
                <a:gs pos="0">
                  <a:schemeClr val="accent3">
                    <a:lumMod val="20000"/>
                    <a:lumOff val="80000"/>
                  </a:schemeClr>
                </a:gs>
                <a:gs pos="40000">
                  <a:schemeClr val="tx1"/>
                </a:gs>
              </a:gsLst>
              <a:lin ang="13500000" scaled="1"/>
            </a:gradFill>
            <a:ln>
              <a:noFill/>
            </a:ln>
            <a:effectLst/>
          </c:spPr>
          <c:val>
            <c:numRef>
              <c:f>PIVOT!$AH$15:$AH$20</c:f>
              <c:numCache>
                <c:formatCode>General</c:formatCode>
                <c:ptCount val="6"/>
                <c:pt idx="0">
                  <c:v>0</c:v>
                </c:pt>
                <c:pt idx="1">
                  <c:v>2362</c:v>
                </c:pt>
                <c:pt idx="2">
                  <c:v>0</c:v>
                </c:pt>
                <c:pt idx="3">
                  <c:v>0</c:v>
                </c:pt>
                <c:pt idx="4">
                  <c:v>0</c:v>
                </c:pt>
                <c:pt idx="5">
                  <c:v>0</c:v>
                </c:pt>
              </c:numCache>
            </c:numRef>
          </c:val>
          <c:extLst>
            <c:ext xmlns:c16="http://schemas.microsoft.com/office/drawing/2014/chart" uri="{C3380CC4-5D6E-409C-BE32-E72D297353CC}">
              <c16:uniqueId val="{00000000-BC76-44E9-A01E-41D8D89F3E24}"/>
            </c:ext>
          </c:extLst>
        </c:ser>
        <c:ser>
          <c:idx val="1"/>
          <c:order val="1"/>
          <c:tx>
            <c:strRef>
              <c:f>PIVOT!$AI$14</c:f>
              <c:strCache>
                <c:ptCount val="1"/>
                <c:pt idx="0">
                  <c:v>2024</c:v>
                </c:pt>
              </c:strCache>
            </c:strRef>
          </c:tx>
          <c:spPr>
            <a:gradFill>
              <a:gsLst>
                <a:gs pos="59000">
                  <a:schemeClr val="accent5">
                    <a:lumMod val="60000"/>
                    <a:lumOff val="40000"/>
                  </a:schemeClr>
                </a:gs>
                <a:gs pos="100000">
                  <a:schemeClr val="accent5">
                    <a:lumMod val="40000"/>
                    <a:lumOff val="60000"/>
                  </a:schemeClr>
                </a:gs>
                <a:gs pos="0">
                  <a:srgbClr val="DB79D0"/>
                </a:gs>
                <a:gs pos="26000">
                  <a:schemeClr val="tx1"/>
                </a:gs>
              </a:gsLst>
              <a:lin ang="13500000" scaled="1"/>
            </a:gradFill>
            <a:ln w="25400">
              <a:noFill/>
            </a:ln>
            <a:effectLst/>
          </c:spPr>
          <c:val>
            <c:numRef>
              <c:f>PIVOT!$AI$15:$AI$20</c:f>
              <c:numCache>
                <c:formatCode>General</c:formatCode>
                <c:ptCount val="6"/>
                <c:pt idx="0">
                  <c:v>0</c:v>
                </c:pt>
                <c:pt idx="1">
                  <c:v>0</c:v>
                </c:pt>
                <c:pt idx="2">
                  <c:v>4242</c:v>
                </c:pt>
                <c:pt idx="3">
                  <c:v>0</c:v>
                </c:pt>
                <c:pt idx="4">
                  <c:v>0</c:v>
                </c:pt>
                <c:pt idx="5">
                  <c:v>0</c:v>
                </c:pt>
              </c:numCache>
            </c:numRef>
          </c:val>
          <c:extLst>
            <c:ext xmlns:c16="http://schemas.microsoft.com/office/drawing/2014/chart" uri="{C3380CC4-5D6E-409C-BE32-E72D297353CC}">
              <c16:uniqueId val="{00000001-BC76-44E9-A01E-41D8D89F3E24}"/>
            </c:ext>
          </c:extLst>
        </c:ser>
        <c:ser>
          <c:idx val="2"/>
          <c:order val="2"/>
          <c:tx>
            <c:strRef>
              <c:f>PIVOT!$AJ$14</c:f>
              <c:strCache>
                <c:ptCount val="1"/>
                <c:pt idx="0">
                  <c:v>2025</c:v>
                </c:pt>
              </c:strCache>
            </c:strRef>
          </c:tx>
          <c:spPr>
            <a:gradFill>
              <a:gsLst>
                <a:gs pos="100000">
                  <a:schemeClr val="accent1">
                    <a:lumMod val="20000"/>
                    <a:lumOff val="80000"/>
                  </a:schemeClr>
                </a:gs>
                <a:gs pos="0">
                  <a:schemeClr val="tx1"/>
                </a:gs>
              </a:gsLst>
              <a:lin ang="5400000" scaled="1"/>
            </a:gradFill>
            <a:ln w="25400">
              <a:noFill/>
            </a:ln>
            <a:effectLst/>
          </c:spPr>
          <c:val>
            <c:numRef>
              <c:f>PIVOT!$AJ$15:$AJ$20</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BC76-44E9-A01E-41D8D89F3E24}"/>
            </c:ext>
          </c:extLst>
        </c:ser>
        <c:ser>
          <c:idx val="3"/>
          <c:order val="3"/>
          <c:tx>
            <c:strRef>
              <c:f>PIVOT!$AK$14</c:f>
              <c:strCache>
                <c:ptCount val="1"/>
                <c:pt idx="0">
                  <c:v>2026</c:v>
                </c:pt>
              </c:strCache>
            </c:strRef>
          </c:tx>
          <c:spPr>
            <a:gradFill flip="none" rotWithShape="1">
              <a:gsLst>
                <a:gs pos="75000">
                  <a:srgbClr val="024972"/>
                </a:gs>
                <a:gs pos="0">
                  <a:srgbClr val="024972"/>
                </a:gs>
                <a:gs pos="0">
                  <a:srgbClr val="024972"/>
                </a:gs>
                <a:gs pos="34000">
                  <a:srgbClr val="0070C0"/>
                </a:gs>
                <a:gs pos="100000">
                  <a:srgbClr val="051407"/>
                </a:gs>
              </a:gsLst>
              <a:lin ang="13500000" scaled="1"/>
              <a:tileRect/>
            </a:gradFill>
            <a:ln w="25400">
              <a:noFill/>
            </a:ln>
            <a:effectLst/>
          </c:spPr>
          <c:val>
            <c:numRef>
              <c:f>PIVOT!$AK$15:$AK$20</c:f>
              <c:numCache>
                <c:formatCode>General</c:formatCode>
                <c:ptCount val="6"/>
                <c:pt idx="0">
                  <c:v>0</c:v>
                </c:pt>
                <c:pt idx="1">
                  <c:v>0</c:v>
                </c:pt>
                <c:pt idx="2">
                  <c:v>0</c:v>
                </c:pt>
                <c:pt idx="3">
                  <c:v>0</c:v>
                </c:pt>
                <c:pt idx="4">
                  <c:v>3810</c:v>
                </c:pt>
                <c:pt idx="5">
                  <c:v>0</c:v>
                </c:pt>
              </c:numCache>
            </c:numRef>
          </c:val>
          <c:extLst>
            <c:ext xmlns:c16="http://schemas.microsoft.com/office/drawing/2014/chart" uri="{C3380CC4-5D6E-409C-BE32-E72D297353CC}">
              <c16:uniqueId val="{00000003-BC76-44E9-A01E-41D8D89F3E24}"/>
            </c:ext>
          </c:extLst>
        </c:ser>
        <c:ser>
          <c:idx val="4"/>
          <c:order val="4"/>
          <c:tx>
            <c:strRef>
              <c:f>PIVOT!$AL$14</c:f>
              <c:strCache>
                <c:ptCount val="1"/>
                <c:pt idx="0">
                  <c:v>MARK</c:v>
                </c:pt>
              </c:strCache>
            </c:strRef>
          </c:tx>
          <c:spPr>
            <a:gradFill flip="none" rotWithShape="1">
              <a:gsLst>
                <a:gs pos="61000">
                  <a:schemeClr val="accent1">
                    <a:lumMod val="20000"/>
                    <a:lumOff val="80000"/>
                  </a:schemeClr>
                </a:gs>
                <a:gs pos="0">
                  <a:srgbClr val="051407"/>
                </a:gs>
                <a:gs pos="100000">
                  <a:srgbClr val="00B0F0"/>
                </a:gs>
              </a:gsLst>
              <a:lin ang="13500000" scaled="1"/>
              <a:tileRect/>
            </a:gradFill>
            <a:ln w="25400">
              <a:solidFill>
                <a:srgbClr val="FFFF00"/>
              </a:solidFill>
            </a:ln>
            <a:effectLst/>
          </c:spPr>
          <c:val>
            <c:numRef>
              <c:f>PIVOT!$AL$15:$AL$20</c:f>
              <c:numCache>
                <c:formatCode>General</c:formatCode>
                <c:ptCount val="6"/>
                <c:pt idx="0">
                  <c:v>0</c:v>
                </c:pt>
                <c:pt idx="1">
                  <c:v>0</c:v>
                </c:pt>
                <c:pt idx="2">
                  <c:v>0</c:v>
                </c:pt>
                <c:pt idx="3">
                  <c:v>4472.5</c:v>
                </c:pt>
                <c:pt idx="4">
                  <c:v>0</c:v>
                </c:pt>
                <c:pt idx="5">
                  <c:v>0</c:v>
                </c:pt>
              </c:numCache>
            </c:numRef>
          </c:val>
          <c:extLst>
            <c:ext xmlns:c16="http://schemas.microsoft.com/office/drawing/2014/chart" uri="{C3380CC4-5D6E-409C-BE32-E72D297353CC}">
              <c16:uniqueId val="{00000004-BC76-44E9-A01E-41D8D89F3E24}"/>
            </c:ext>
          </c:extLst>
        </c:ser>
        <c:dLbls>
          <c:showLegendKey val="0"/>
          <c:showVal val="0"/>
          <c:showCatName val="0"/>
          <c:showSerName val="0"/>
          <c:showPercent val="0"/>
          <c:showBubbleSize val="0"/>
        </c:dLbls>
        <c:axId val="1886382048"/>
        <c:axId val="1894112112"/>
      </c:areaChart>
      <c:scatterChart>
        <c:scatterStyle val="lineMarker"/>
        <c:varyColors val="0"/>
        <c:ser>
          <c:idx val="5"/>
          <c:order val="5"/>
          <c:tx>
            <c:strRef>
              <c:f>PIVOT!$AM$14</c:f>
              <c:strCache>
                <c:ptCount val="1"/>
                <c:pt idx="0">
                  <c:v>LABEL</c:v>
                </c:pt>
              </c:strCache>
            </c:strRef>
          </c:tx>
          <c:spPr>
            <a:ln w="25400" cap="rnd">
              <a:noFill/>
              <a:round/>
            </a:ln>
            <a:effectLst>
              <a:glow rad="165100">
                <a:srgbClr val="FF0000">
                  <a:alpha val="50000"/>
                </a:srgbClr>
              </a:glow>
              <a:outerShdw blurRad="50800" dist="50800" dir="5400000" algn="ctr" rotWithShape="0">
                <a:srgbClr val="FF0000"/>
              </a:outerShdw>
            </a:effectLst>
          </c:spPr>
          <c:marker>
            <c:symbol val="triangle"/>
            <c:size val="10"/>
            <c:spPr>
              <a:solidFill>
                <a:schemeClr val="bg1"/>
              </a:solidFill>
              <a:ln w="9525">
                <a:noFill/>
              </a:ln>
              <a:effectLst>
                <a:glow rad="165100">
                  <a:srgbClr val="FF0000">
                    <a:alpha val="50000"/>
                  </a:srgbClr>
                </a:glow>
                <a:outerShdw blurRad="50800" dist="50800" dir="5400000" algn="ctr" rotWithShape="0">
                  <a:srgbClr val="FF0000"/>
                </a:outerShdw>
              </a:effectLst>
            </c:spPr>
          </c:marker>
          <c:yVal>
            <c:numRef>
              <c:f>PIVOT!$AM$15:$AM$20</c:f>
              <c:numCache>
                <c:formatCode>General</c:formatCode>
                <c:ptCount val="6"/>
                <c:pt idx="0">
                  <c:v>#N/A</c:v>
                </c:pt>
                <c:pt idx="1">
                  <c:v>#N/A</c:v>
                </c:pt>
                <c:pt idx="2">
                  <c:v>#N/A</c:v>
                </c:pt>
                <c:pt idx="3">
                  <c:v>4472.5</c:v>
                </c:pt>
                <c:pt idx="4">
                  <c:v>#N/A</c:v>
                </c:pt>
                <c:pt idx="5">
                  <c:v>#N/A</c:v>
                </c:pt>
              </c:numCache>
            </c:numRef>
          </c:yVal>
          <c:smooth val="0"/>
          <c:extLst>
            <c:ext xmlns:c16="http://schemas.microsoft.com/office/drawing/2014/chart" uri="{C3380CC4-5D6E-409C-BE32-E72D297353CC}">
              <c16:uniqueId val="{00000005-BC76-44E9-A01E-41D8D89F3E24}"/>
            </c:ext>
          </c:extLst>
        </c:ser>
        <c:dLbls>
          <c:showLegendKey val="0"/>
          <c:showVal val="0"/>
          <c:showCatName val="0"/>
          <c:showSerName val="0"/>
          <c:showPercent val="0"/>
          <c:showBubbleSize val="0"/>
        </c:dLbls>
        <c:axId val="1886382048"/>
        <c:axId val="1894112112"/>
      </c:scatterChart>
      <c:catAx>
        <c:axId val="1886382048"/>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4112112"/>
        <c:crosses val="autoZero"/>
        <c:auto val="1"/>
        <c:lblAlgn val="ctr"/>
        <c:lblOffset val="100"/>
        <c:noMultiLvlLbl val="0"/>
      </c:catAx>
      <c:valAx>
        <c:axId val="1894112112"/>
        <c:scaling>
          <c:orientation val="minMax"/>
        </c:scaling>
        <c:delete val="1"/>
        <c:axPos val="l"/>
        <c:numFmt formatCode="General" sourceLinked="1"/>
        <c:majorTickMark val="out"/>
        <c:minorTickMark val="none"/>
        <c:tickLblPos val="nextTo"/>
        <c:crossAx val="1886382048"/>
        <c:crosses val="autoZero"/>
        <c:crossBetween val="between"/>
      </c:valAx>
      <c:spPr>
        <a:gradFill>
          <a:gsLst>
            <a:gs pos="70000">
              <a:schemeClr val="tx1"/>
            </a:gs>
            <a:gs pos="100000">
              <a:schemeClr val="tx1"/>
            </a:gs>
            <a:gs pos="0">
              <a:schemeClr val="tx1"/>
            </a:gs>
            <a:gs pos="40000">
              <a:schemeClr val="tx1"/>
            </a:gs>
          </a:gsLst>
          <a:lin ang="13500000" scaled="1"/>
        </a:gradFill>
        <a:ln>
          <a:noFill/>
        </a:ln>
        <a:effectLst/>
      </c:spPr>
    </c:plotArea>
    <c:plotVisOnly val="1"/>
    <c:dispBlanksAs val="zero"/>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bg1"/>
                </a:solidFill>
              </a:rPr>
              <a:t>BUSINESS</a:t>
            </a:r>
            <a:r>
              <a:rPr lang="en-IN" b="1" baseline="0">
                <a:solidFill>
                  <a:schemeClr val="bg1"/>
                </a:solidFill>
              </a:rPr>
              <a:t> UNITS </a:t>
            </a:r>
            <a:endParaRPr lang="en-IN" b="1">
              <a:solidFill>
                <a:schemeClr val="bg1"/>
              </a:solidFill>
            </a:endParaRPr>
          </a:p>
        </c:rich>
      </c:tx>
      <c:layout>
        <c:manualLayout>
          <c:xMode val="edge"/>
          <c:yMode val="edge"/>
          <c:x val="0.29013465903717012"/>
          <c:y val="5.2892561983471073E-2"/>
        </c:manualLayout>
      </c:layout>
      <c:overlay val="0"/>
      <c:spPr>
        <a:noFill/>
        <a:ln>
          <a:solidFill>
            <a:schemeClr val="accent1">
              <a:shade val="15000"/>
            </a:schemeClr>
          </a:solid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manualLayout>
          <c:layoutTarget val="inner"/>
          <c:xMode val="edge"/>
          <c:yMode val="edge"/>
          <c:x val="0.25748401971585561"/>
          <c:y val="0.20307399897472386"/>
          <c:w val="0.41850928087411848"/>
          <c:h val="0.67468591680766854"/>
        </c:manualLayout>
      </c:layout>
      <c:doughnutChart>
        <c:varyColors val="1"/>
        <c:ser>
          <c:idx val="0"/>
          <c:order val="0"/>
          <c:tx>
            <c:strRef>
              <c:f>PIVOT!$T$15</c:f>
              <c:strCache>
                <c:ptCount val="1"/>
                <c:pt idx="0">
                  <c:v>VALUE</c:v>
                </c:pt>
              </c:strCache>
            </c:strRef>
          </c:tx>
          <c:spPr>
            <a:ln>
              <a:noFill/>
            </a:ln>
          </c:spPr>
          <c:dPt>
            <c:idx val="0"/>
            <c:bubble3D val="0"/>
            <c:spPr>
              <a:blipFill>
                <a:blip xmlns:r="http://schemas.openxmlformats.org/officeDocument/2006/relationships" r:embed="rId3"/>
                <a:stretch>
                  <a:fillRect/>
                </a:stretch>
              </a:blipFill>
              <a:ln w="19050">
                <a:noFill/>
              </a:ln>
              <a:effectLst/>
            </c:spPr>
            <c:extLst>
              <c:ext xmlns:c16="http://schemas.microsoft.com/office/drawing/2014/chart" uri="{C3380CC4-5D6E-409C-BE32-E72D297353CC}">
                <c16:uniqueId val="{00000001-7480-4A19-8111-7B749F18E249}"/>
              </c:ext>
            </c:extLst>
          </c:dPt>
          <c:dPt>
            <c:idx val="1"/>
            <c:bubble3D val="0"/>
            <c:spPr>
              <a:blipFill>
                <a:blip xmlns:r="http://schemas.openxmlformats.org/officeDocument/2006/relationships" r:embed="rId4"/>
                <a:stretch>
                  <a:fillRect/>
                </a:stretch>
              </a:blipFill>
              <a:ln w="19050">
                <a:noFill/>
              </a:ln>
              <a:effectLst/>
            </c:spPr>
            <c:extLst>
              <c:ext xmlns:c16="http://schemas.microsoft.com/office/drawing/2014/chart" uri="{C3380CC4-5D6E-409C-BE32-E72D297353CC}">
                <c16:uniqueId val="{00000003-7480-4A19-8111-7B749F18E249}"/>
              </c:ext>
            </c:extLst>
          </c:dPt>
          <c:dPt>
            <c:idx val="2"/>
            <c:bubble3D val="0"/>
            <c:spPr>
              <a:blipFill>
                <a:blip xmlns:r="http://schemas.openxmlformats.org/officeDocument/2006/relationships" r:embed="rId5"/>
                <a:stretch>
                  <a:fillRect/>
                </a:stretch>
              </a:blipFill>
              <a:ln w="19050">
                <a:noFill/>
              </a:ln>
              <a:effectLst/>
            </c:spPr>
            <c:extLst>
              <c:ext xmlns:c16="http://schemas.microsoft.com/office/drawing/2014/chart" uri="{C3380CC4-5D6E-409C-BE32-E72D297353CC}">
                <c16:uniqueId val="{00000005-7480-4A19-8111-7B749F18E249}"/>
              </c:ext>
            </c:extLst>
          </c:dPt>
          <c:dPt>
            <c:idx val="3"/>
            <c:bubble3D val="0"/>
            <c:spPr>
              <a:blipFill>
                <a:blip xmlns:r="http://schemas.openxmlformats.org/officeDocument/2006/relationships" r:embed="rId6"/>
                <a:stretch>
                  <a:fillRect/>
                </a:stretch>
              </a:blipFill>
              <a:ln w="19050">
                <a:noFill/>
              </a:ln>
              <a:effectLst/>
            </c:spPr>
            <c:extLst>
              <c:ext xmlns:c16="http://schemas.microsoft.com/office/drawing/2014/chart" uri="{C3380CC4-5D6E-409C-BE32-E72D297353CC}">
                <c16:uniqueId val="{00000007-7480-4A19-8111-7B749F18E249}"/>
              </c:ext>
            </c:extLst>
          </c:dPt>
          <c:dPt>
            <c:idx val="4"/>
            <c:bubble3D val="0"/>
            <c:spPr>
              <a:solidFill>
                <a:schemeClr val="accent5"/>
              </a:solidFill>
              <a:ln w="19050">
                <a:noFill/>
              </a:ln>
              <a:effectLst/>
            </c:spPr>
            <c:extLst>
              <c:ext xmlns:c16="http://schemas.microsoft.com/office/drawing/2014/chart" uri="{C3380CC4-5D6E-409C-BE32-E72D297353CC}">
                <c16:uniqueId val="{00000009-7480-4A19-8111-7B749F18E249}"/>
              </c:ext>
            </c:extLst>
          </c:dPt>
          <c:val>
            <c:numRef>
              <c:f>PIVOT!$T$16:$T$20</c:f>
              <c:numCache>
                <c:formatCode>0%</c:formatCode>
                <c:ptCount val="5"/>
                <c:pt idx="0">
                  <c:v>0.25</c:v>
                </c:pt>
                <c:pt idx="1">
                  <c:v>0.25</c:v>
                </c:pt>
                <c:pt idx="2">
                  <c:v>0.25</c:v>
                </c:pt>
                <c:pt idx="3">
                  <c:v>0.25</c:v>
                </c:pt>
                <c:pt idx="4" formatCode="0.00%">
                  <c:v>0</c:v>
                </c:pt>
              </c:numCache>
            </c:numRef>
          </c:val>
          <c:extLst>
            <c:ext xmlns:c16="http://schemas.microsoft.com/office/drawing/2014/chart" uri="{C3380CC4-5D6E-409C-BE32-E72D297353CC}">
              <c16:uniqueId val="{0000000A-7480-4A19-8111-7B749F18E249}"/>
            </c:ext>
          </c:extLst>
        </c:ser>
        <c:dLbls>
          <c:showLegendKey val="0"/>
          <c:showVal val="0"/>
          <c:showCatName val="0"/>
          <c:showSerName val="0"/>
          <c:showPercent val="0"/>
          <c:showBubbleSize val="0"/>
          <c:showLeaderLines val="1"/>
        </c:dLbls>
        <c:firstSliceAng val="0"/>
        <c:holeSize val="75"/>
      </c:doughnutChart>
      <c:scatterChart>
        <c:scatterStyle val="lineMarker"/>
        <c:varyColors val="0"/>
        <c:ser>
          <c:idx val="1"/>
          <c:order val="1"/>
          <c:tx>
            <c:strRef>
              <c:f>PIVOT!$T$15:$T$20</c:f>
              <c:strCache>
                <c:ptCount val="6"/>
                <c:pt idx="0">
                  <c:v>VALUE</c:v>
                </c:pt>
                <c:pt idx="1">
                  <c:v>25%</c:v>
                </c:pt>
                <c:pt idx="2">
                  <c:v>25%</c:v>
                </c:pt>
                <c:pt idx="3">
                  <c:v>25%</c:v>
                </c:pt>
                <c:pt idx="4">
                  <c:v>25%</c:v>
                </c:pt>
                <c:pt idx="5">
                  <c:v>0.00%</c:v>
                </c:pt>
              </c:strCache>
            </c:strRef>
          </c:tx>
          <c:spPr>
            <a:ln w="25400" cap="rnd">
              <a:noFill/>
              <a:round/>
            </a:ln>
            <a:effectLst/>
          </c:spPr>
          <c:marker>
            <c:symbol val="circle"/>
            <c:size val="14"/>
            <c:spPr>
              <a:solidFill>
                <a:srgbClr val="FFFFFF"/>
              </a:solidFill>
              <a:ln w="9525">
                <a:noFill/>
              </a:ln>
              <a:effectLst/>
            </c:spPr>
          </c:marker>
          <c:dPt>
            <c:idx val="0"/>
            <c:marker>
              <c:symbol val="circle"/>
              <c:size val="14"/>
              <c:spPr>
                <a:solidFill>
                  <a:schemeClr val="accent5">
                    <a:lumMod val="60000"/>
                    <a:lumOff val="40000"/>
                  </a:schemeClr>
                </a:solidFill>
                <a:ln w="9525">
                  <a:noFill/>
                </a:ln>
                <a:effectLst/>
              </c:spPr>
            </c:marker>
            <c:bubble3D val="0"/>
            <c:extLst>
              <c:ext xmlns:c16="http://schemas.microsoft.com/office/drawing/2014/chart" uri="{C3380CC4-5D6E-409C-BE32-E72D297353CC}">
                <c16:uniqueId val="{0000000F-7480-4A19-8111-7B749F18E249}"/>
              </c:ext>
            </c:extLst>
          </c:dPt>
          <c:dPt>
            <c:idx val="1"/>
            <c:marker>
              <c:symbol val="circle"/>
              <c:size val="14"/>
              <c:spPr>
                <a:solidFill>
                  <a:srgbClr val="4642DA"/>
                </a:solidFill>
                <a:ln w="9525">
                  <a:noFill/>
                </a:ln>
                <a:effectLst/>
              </c:spPr>
            </c:marker>
            <c:bubble3D val="0"/>
            <c:extLst>
              <c:ext xmlns:c16="http://schemas.microsoft.com/office/drawing/2014/chart" uri="{C3380CC4-5D6E-409C-BE32-E72D297353CC}">
                <c16:uniqueId val="{0000000D-7480-4A19-8111-7B749F18E249}"/>
              </c:ext>
            </c:extLst>
          </c:dPt>
          <c:dPt>
            <c:idx val="2"/>
            <c:marker>
              <c:symbol val="circle"/>
              <c:size val="14"/>
              <c:spPr>
                <a:solidFill>
                  <a:srgbClr val="FFFF00"/>
                </a:solidFill>
                <a:ln w="9525">
                  <a:noFill/>
                </a:ln>
                <a:effectLst/>
              </c:spPr>
            </c:marker>
            <c:bubble3D val="0"/>
            <c:extLst>
              <c:ext xmlns:c16="http://schemas.microsoft.com/office/drawing/2014/chart" uri="{C3380CC4-5D6E-409C-BE32-E72D297353CC}">
                <c16:uniqueId val="{0000000E-7480-4A19-8111-7B749F18E249}"/>
              </c:ext>
            </c:extLst>
          </c:dPt>
          <c:dPt>
            <c:idx val="3"/>
            <c:marker>
              <c:symbol val="circle"/>
              <c:size val="14"/>
              <c:spPr>
                <a:solidFill>
                  <a:srgbClr val="49FDF9"/>
                </a:solidFill>
                <a:ln w="9525">
                  <a:noFill/>
                </a:ln>
                <a:effectLst/>
              </c:spPr>
            </c:marker>
            <c:bubble3D val="0"/>
            <c:extLst>
              <c:ext xmlns:c16="http://schemas.microsoft.com/office/drawing/2014/chart" uri="{C3380CC4-5D6E-409C-BE32-E72D297353CC}">
                <c16:uniqueId val="{0000000C-7480-4A19-8111-7B749F18E249}"/>
              </c:ext>
            </c:extLst>
          </c:dPt>
          <c:xVal>
            <c:numRef>
              <c:f>PIVOT!$W$16:$W$20</c:f>
              <c:numCache>
                <c:formatCode>0.00</c:formatCode>
                <c:ptCount val="5"/>
                <c:pt idx="0">
                  <c:v>1</c:v>
                </c:pt>
                <c:pt idx="1">
                  <c:v>1.22514845490862E-16</c:v>
                </c:pt>
                <c:pt idx="2">
                  <c:v>-1</c:v>
                </c:pt>
                <c:pt idx="3">
                  <c:v>-2.45029690981724E-16</c:v>
                </c:pt>
                <c:pt idx="4">
                  <c:v>#N/A</c:v>
                </c:pt>
              </c:numCache>
            </c:numRef>
          </c:xVal>
          <c:yVal>
            <c:numRef>
              <c:f>PIVOT!$X$16:$X$20</c:f>
              <c:numCache>
                <c:formatCode>0.00</c:formatCode>
                <c:ptCount val="5"/>
                <c:pt idx="0">
                  <c:v>-1.83772268236293E-16</c:v>
                </c:pt>
                <c:pt idx="1">
                  <c:v>-1</c:v>
                </c:pt>
                <c:pt idx="2">
                  <c:v>6.1257422745431001E-17</c:v>
                </c:pt>
                <c:pt idx="3">
                  <c:v>1</c:v>
                </c:pt>
                <c:pt idx="4">
                  <c:v>#N/A</c:v>
                </c:pt>
              </c:numCache>
            </c:numRef>
          </c:yVal>
          <c:smooth val="0"/>
          <c:extLst>
            <c:ext xmlns:c16="http://schemas.microsoft.com/office/drawing/2014/chart" uri="{C3380CC4-5D6E-409C-BE32-E72D297353CC}">
              <c16:uniqueId val="{0000000B-7480-4A19-8111-7B749F18E249}"/>
            </c:ext>
          </c:extLst>
        </c:ser>
        <c:dLbls>
          <c:showLegendKey val="0"/>
          <c:showVal val="0"/>
          <c:showCatName val="0"/>
          <c:showSerName val="0"/>
          <c:showPercent val="0"/>
          <c:showBubbleSize val="0"/>
        </c:dLbls>
        <c:axId val="1508198415"/>
        <c:axId val="1508200335"/>
      </c:scatterChart>
      <c:valAx>
        <c:axId val="1508200335"/>
        <c:scaling>
          <c:orientation val="minMax"/>
          <c:max val="1.1500000000000001"/>
          <c:min val="-1.1400000000000001"/>
        </c:scaling>
        <c:delete val="1"/>
        <c:axPos val="l"/>
        <c:numFmt formatCode="0.00" sourceLinked="1"/>
        <c:majorTickMark val="out"/>
        <c:minorTickMark val="none"/>
        <c:tickLblPos val="nextTo"/>
        <c:crossAx val="1508198415"/>
        <c:crosses val="autoZero"/>
        <c:crossBetween val="midCat"/>
      </c:valAx>
      <c:valAx>
        <c:axId val="1508198415"/>
        <c:scaling>
          <c:orientation val="minMax"/>
          <c:max val="1.1400000000000001"/>
          <c:min val="-1.1500000000000001"/>
        </c:scaling>
        <c:delete val="1"/>
        <c:axPos val="t"/>
        <c:numFmt formatCode="0.00" sourceLinked="1"/>
        <c:majorTickMark val="out"/>
        <c:minorTickMark val="none"/>
        <c:tickLblPos val="nextTo"/>
        <c:crossAx val="1508200335"/>
        <c:crosses val="max"/>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7"/>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854429803912746E-2"/>
          <c:y val="7.3020716831175725E-2"/>
          <c:w val="0.91593910616997221"/>
          <c:h val="0.77899092199073527"/>
        </c:manualLayout>
      </c:layout>
      <c:barChart>
        <c:barDir val="col"/>
        <c:grouping val="clustered"/>
        <c:varyColors val="0"/>
        <c:ser>
          <c:idx val="0"/>
          <c:order val="0"/>
          <c:tx>
            <c:strRef>
              <c:f>[1]PIVOT!$Z$4</c:f>
              <c:strCache>
                <c:ptCount val="1"/>
                <c:pt idx="0">
                  <c:v>SALES </c:v>
                </c:pt>
              </c:strCache>
            </c:strRef>
          </c:tx>
          <c:spPr>
            <a:solidFill>
              <a:schemeClr val="accent1"/>
            </a:solidFill>
            <a:ln>
              <a:noFill/>
            </a:ln>
            <a:effectLst/>
          </c:spPr>
          <c:invertIfNegative val="0"/>
          <c:val>
            <c:numRef>
              <c:f>[1]PIVOT!$Z$5:$Z$16</c:f>
              <c:numCache>
                <c:formatCode>General</c:formatCode>
                <c:ptCount val="12"/>
                <c:pt idx="0">
                  <c:v>100.7</c:v>
                </c:pt>
                <c:pt idx="1">
                  <c:v>225</c:v>
                </c:pt>
                <c:pt idx="2">
                  <c:v>20</c:v>
                </c:pt>
                <c:pt idx="3">
                  <c:v>325</c:v>
                </c:pt>
                <c:pt idx="4">
                  <c:v>240</c:v>
                </c:pt>
                <c:pt idx="5">
                  <c:v>295</c:v>
                </c:pt>
                <c:pt idx="6">
                  <c:v>425</c:v>
                </c:pt>
                <c:pt idx="7">
                  <c:v>440</c:v>
                </c:pt>
                <c:pt idx="8">
                  <c:v>275</c:v>
                </c:pt>
                <c:pt idx="9">
                  <c:v>350</c:v>
                </c:pt>
                <c:pt idx="10">
                  <c:v>290</c:v>
                </c:pt>
                <c:pt idx="11">
                  <c:v>375</c:v>
                </c:pt>
              </c:numCache>
            </c:numRef>
          </c:val>
          <c:extLst>
            <c:ext xmlns:c16="http://schemas.microsoft.com/office/drawing/2014/chart" uri="{C3380CC4-5D6E-409C-BE32-E72D297353CC}">
              <c16:uniqueId val="{00000000-A007-41E6-AADE-F1DAE616A117}"/>
            </c:ext>
          </c:extLst>
        </c:ser>
        <c:ser>
          <c:idx val="1"/>
          <c:order val="1"/>
          <c:tx>
            <c:strRef>
              <c:f>[1]PIVOT!$AA$4</c:f>
              <c:strCache>
                <c:ptCount val="1"/>
                <c:pt idx="0">
                  <c:v>SALES L2</c:v>
                </c:pt>
              </c:strCache>
            </c:strRef>
          </c:tx>
          <c:spPr>
            <a:solidFill>
              <a:schemeClr val="accent2"/>
            </a:solidFill>
            <a:ln>
              <a:noFill/>
            </a:ln>
            <a:effectLst/>
          </c:spPr>
          <c:invertIfNegative val="0"/>
          <c:dPt>
            <c:idx val="0"/>
            <c:invertIfNegative val="0"/>
            <c:bubble3D val="0"/>
            <c:spPr>
              <a:solidFill>
                <a:srgbClr val="7030A0"/>
              </a:solidFill>
              <a:ln>
                <a:noFill/>
              </a:ln>
              <a:effectLst/>
            </c:spPr>
            <c:extLst>
              <c:ext xmlns:c16="http://schemas.microsoft.com/office/drawing/2014/chart" uri="{C3380CC4-5D6E-409C-BE32-E72D297353CC}">
                <c16:uniqueId val="{00000002-A007-41E6-AADE-F1DAE616A117}"/>
              </c:ext>
            </c:extLst>
          </c:dPt>
          <c:dPt>
            <c:idx val="1"/>
            <c:invertIfNegative val="0"/>
            <c:bubble3D val="0"/>
            <c:spPr>
              <a:solidFill>
                <a:srgbClr val="7030A0"/>
              </a:solidFill>
              <a:ln>
                <a:noFill/>
              </a:ln>
              <a:effectLst/>
            </c:spPr>
            <c:extLst>
              <c:ext xmlns:c16="http://schemas.microsoft.com/office/drawing/2014/chart" uri="{C3380CC4-5D6E-409C-BE32-E72D297353CC}">
                <c16:uniqueId val="{00000004-A007-41E6-AADE-F1DAE616A117}"/>
              </c:ext>
            </c:extLst>
          </c:dPt>
          <c:dPt>
            <c:idx val="2"/>
            <c:invertIfNegative val="0"/>
            <c:bubble3D val="0"/>
            <c:spPr>
              <a:solidFill>
                <a:srgbClr val="49FDF9"/>
              </a:solidFill>
              <a:ln>
                <a:noFill/>
              </a:ln>
              <a:effectLst/>
            </c:spPr>
            <c:extLst>
              <c:ext xmlns:c16="http://schemas.microsoft.com/office/drawing/2014/chart" uri="{C3380CC4-5D6E-409C-BE32-E72D297353CC}">
                <c16:uniqueId val="{00000006-A007-41E6-AADE-F1DAE616A117}"/>
              </c:ext>
            </c:extLst>
          </c:dPt>
          <c:dPt>
            <c:idx val="3"/>
            <c:invertIfNegative val="0"/>
            <c:bubble3D val="0"/>
            <c:spPr>
              <a:solidFill>
                <a:srgbClr val="49FDF9"/>
              </a:solidFill>
              <a:ln>
                <a:noFill/>
              </a:ln>
              <a:effectLst/>
            </c:spPr>
            <c:extLst>
              <c:ext xmlns:c16="http://schemas.microsoft.com/office/drawing/2014/chart" uri="{C3380CC4-5D6E-409C-BE32-E72D297353CC}">
                <c16:uniqueId val="{00000008-A007-41E6-AADE-F1DAE616A117}"/>
              </c:ext>
            </c:extLst>
          </c:dPt>
          <c:dPt>
            <c:idx val="4"/>
            <c:invertIfNegative val="0"/>
            <c:bubble3D val="0"/>
            <c:spPr>
              <a:solidFill>
                <a:srgbClr val="49FDF9"/>
              </a:solidFill>
              <a:ln>
                <a:noFill/>
              </a:ln>
              <a:effectLst/>
            </c:spPr>
            <c:extLst>
              <c:ext xmlns:c16="http://schemas.microsoft.com/office/drawing/2014/chart" uri="{C3380CC4-5D6E-409C-BE32-E72D297353CC}">
                <c16:uniqueId val="{0000000A-A007-41E6-AADE-F1DAE616A117}"/>
              </c:ext>
            </c:extLst>
          </c:dPt>
          <c:dPt>
            <c:idx val="5"/>
            <c:invertIfNegative val="0"/>
            <c:bubble3D val="0"/>
            <c:spPr>
              <a:solidFill>
                <a:srgbClr val="49FDF9"/>
              </a:solidFill>
              <a:ln>
                <a:noFill/>
              </a:ln>
              <a:effectLst/>
            </c:spPr>
            <c:extLst>
              <c:ext xmlns:c16="http://schemas.microsoft.com/office/drawing/2014/chart" uri="{C3380CC4-5D6E-409C-BE32-E72D297353CC}">
                <c16:uniqueId val="{0000000C-A007-41E6-AADE-F1DAE616A117}"/>
              </c:ext>
            </c:extLst>
          </c:dPt>
          <c:dPt>
            <c:idx val="6"/>
            <c:invertIfNegative val="0"/>
            <c:bubble3D val="0"/>
            <c:spPr>
              <a:solidFill>
                <a:srgbClr val="49FDF9"/>
              </a:solidFill>
              <a:ln>
                <a:noFill/>
              </a:ln>
              <a:effectLst/>
            </c:spPr>
            <c:extLst>
              <c:ext xmlns:c16="http://schemas.microsoft.com/office/drawing/2014/chart" uri="{C3380CC4-5D6E-409C-BE32-E72D297353CC}">
                <c16:uniqueId val="{0000000E-A007-41E6-AADE-F1DAE616A117}"/>
              </c:ext>
            </c:extLst>
          </c:dPt>
          <c:dPt>
            <c:idx val="7"/>
            <c:invertIfNegative val="0"/>
            <c:bubble3D val="0"/>
            <c:spPr>
              <a:solidFill>
                <a:srgbClr val="49FDF9"/>
              </a:solidFill>
              <a:ln>
                <a:noFill/>
              </a:ln>
              <a:effectLst/>
            </c:spPr>
            <c:extLst>
              <c:ext xmlns:c16="http://schemas.microsoft.com/office/drawing/2014/chart" uri="{C3380CC4-5D6E-409C-BE32-E72D297353CC}">
                <c16:uniqueId val="{00000010-A007-41E6-AADE-F1DAE616A117}"/>
              </c:ext>
            </c:extLst>
          </c:dPt>
          <c:dPt>
            <c:idx val="8"/>
            <c:invertIfNegative val="0"/>
            <c:bubble3D val="0"/>
            <c:spPr>
              <a:solidFill>
                <a:srgbClr val="49FDF9"/>
              </a:solidFill>
              <a:ln>
                <a:noFill/>
              </a:ln>
              <a:effectLst/>
            </c:spPr>
            <c:extLst>
              <c:ext xmlns:c16="http://schemas.microsoft.com/office/drawing/2014/chart" uri="{C3380CC4-5D6E-409C-BE32-E72D297353CC}">
                <c16:uniqueId val="{00000012-A007-41E6-AADE-F1DAE616A117}"/>
              </c:ext>
            </c:extLst>
          </c:dPt>
          <c:dPt>
            <c:idx val="9"/>
            <c:invertIfNegative val="0"/>
            <c:bubble3D val="0"/>
            <c:spPr>
              <a:solidFill>
                <a:srgbClr val="7030A0"/>
              </a:solidFill>
              <a:ln>
                <a:noFill/>
              </a:ln>
              <a:effectLst/>
            </c:spPr>
            <c:extLst>
              <c:ext xmlns:c16="http://schemas.microsoft.com/office/drawing/2014/chart" uri="{C3380CC4-5D6E-409C-BE32-E72D297353CC}">
                <c16:uniqueId val="{00000014-A007-41E6-AADE-F1DAE616A117}"/>
              </c:ext>
            </c:extLst>
          </c:dPt>
          <c:dPt>
            <c:idx val="10"/>
            <c:invertIfNegative val="0"/>
            <c:bubble3D val="0"/>
            <c:spPr>
              <a:solidFill>
                <a:srgbClr val="7030A0"/>
              </a:solidFill>
              <a:ln>
                <a:noFill/>
              </a:ln>
              <a:effectLst/>
            </c:spPr>
            <c:extLst>
              <c:ext xmlns:c16="http://schemas.microsoft.com/office/drawing/2014/chart" uri="{C3380CC4-5D6E-409C-BE32-E72D297353CC}">
                <c16:uniqueId val="{00000016-A007-41E6-AADE-F1DAE616A117}"/>
              </c:ext>
            </c:extLst>
          </c:dPt>
          <c:dPt>
            <c:idx val="11"/>
            <c:invertIfNegative val="0"/>
            <c:bubble3D val="0"/>
            <c:spPr>
              <a:solidFill>
                <a:srgbClr val="7030A0"/>
              </a:solidFill>
              <a:ln>
                <a:noFill/>
              </a:ln>
              <a:effectLst/>
            </c:spPr>
            <c:extLst>
              <c:ext xmlns:c16="http://schemas.microsoft.com/office/drawing/2014/chart" uri="{C3380CC4-5D6E-409C-BE32-E72D297353CC}">
                <c16:uniqueId val="{00000018-A007-41E6-AADE-F1DAE616A117}"/>
              </c:ext>
            </c:extLst>
          </c:dPt>
          <c:val>
            <c:numRef>
              <c:f>[1]PIVOT!$AA$5:$AA$16</c:f>
              <c:numCache>
                <c:formatCode>General</c:formatCode>
                <c:ptCount val="12"/>
                <c:pt idx="0">
                  <c:v>350</c:v>
                </c:pt>
                <c:pt idx="1">
                  <c:v>225</c:v>
                </c:pt>
                <c:pt idx="2">
                  <c:v>220</c:v>
                </c:pt>
                <c:pt idx="3">
                  <c:v>325</c:v>
                </c:pt>
                <c:pt idx="4">
                  <c:v>240</c:v>
                </c:pt>
                <c:pt idx="5">
                  <c:v>295</c:v>
                </c:pt>
                <c:pt idx="6">
                  <c:v>425</c:v>
                </c:pt>
                <c:pt idx="7">
                  <c:v>440</c:v>
                </c:pt>
                <c:pt idx="8">
                  <c:v>275</c:v>
                </c:pt>
                <c:pt idx="9">
                  <c:v>350</c:v>
                </c:pt>
                <c:pt idx="10">
                  <c:v>290</c:v>
                </c:pt>
                <c:pt idx="11">
                  <c:v>375</c:v>
                </c:pt>
              </c:numCache>
            </c:numRef>
          </c:val>
          <c:extLst>
            <c:ext xmlns:c16="http://schemas.microsoft.com/office/drawing/2014/chart" uri="{C3380CC4-5D6E-409C-BE32-E72D297353CC}">
              <c16:uniqueId val="{00000019-A007-41E6-AADE-F1DAE616A117}"/>
            </c:ext>
          </c:extLst>
        </c:ser>
        <c:dLbls>
          <c:showLegendKey val="0"/>
          <c:showVal val="0"/>
          <c:showCatName val="0"/>
          <c:showSerName val="0"/>
          <c:showPercent val="0"/>
          <c:showBubbleSize val="0"/>
        </c:dLbls>
        <c:gapWidth val="150"/>
        <c:overlap val="100"/>
        <c:axId val="122587823"/>
        <c:axId val="2147103119"/>
      </c:barChart>
      <c:lineChart>
        <c:grouping val="standard"/>
        <c:varyColors val="0"/>
        <c:ser>
          <c:idx val="2"/>
          <c:order val="2"/>
          <c:tx>
            <c:strRef>
              <c:f>[1]PIVOT!$AB$4</c:f>
              <c:strCache>
                <c:ptCount val="1"/>
                <c:pt idx="0">
                  <c:v>COST</c:v>
                </c:pt>
              </c:strCache>
            </c:strRef>
          </c:tx>
          <c:spPr>
            <a:ln w="28575" cap="rnd">
              <a:solidFill>
                <a:schemeClr val="accent5">
                  <a:lumMod val="60000"/>
                  <a:lumOff val="40000"/>
                </a:schemeClr>
              </a:solidFill>
              <a:round/>
            </a:ln>
            <a:effectLst/>
          </c:spPr>
          <c:marker>
            <c:symbol val="none"/>
          </c:marker>
          <c:val>
            <c:numRef>
              <c:f>[1]PIVOT!$AB$5:$AB$16</c:f>
              <c:numCache>
                <c:formatCode>General</c:formatCode>
                <c:ptCount val="12"/>
                <c:pt idx="0">
                  <c:v>100.7</c:v>
                </c:pt>
                <c:pt idx="1">
                  <c:v>105.7</c:v>
                </c:pt>
                <c:pt idx="2">
                  <c:v>126</c:v>
                </c:pt>
                <c:pt idx="3">
                  <c:v>162.75</c:v>
                </c:pt>
                <c:pt idx="4">
                  <c:v>160.65</c:v>
                </c:pt>
                <c:pt idx="5">
                  <c:v>100.8</c:v>
                </c:pt>
                <c:pt idx="6">
                  <c:v>171.15</c:v>
                </c:pt>
                <c:pt idx="7">
                  <c:v>164.85</c:v>
                </c:pt>
                <c:pt idx="8">
                  <c:v>177.45</c:v>
                </c:pt>
                <c:pt idx="9">
                  <c:v>151.19999999999999</c:v>
                </c:pt>
                <c:pt idx="10">
                  <c:v>155.4</c:v>
                </c:pt>
                <c:pt idx="11">
                  <c:v>107.1</c:v>
                </c:pt>
              </c:numCache>
            </c:numRef>
          </c:val>
          <c:smooth val="0"/>
          <c:extLst>
            <c:ext xmlns:c16="http://schemas.microsoft.com/office/drawing/2014/chart" uri="{C3380CC4-5D6E-409C-BE32-E72D297353CC}">
              <c16:uniqueId val="{0000001A-A007-41E6-AADE-F1DAE616A117}"/>
            </c:ext>
          </c:extLst>
        </c:ser>
        <c:dLbls>
          <c:showLegendKey val="0"/>
          <c:showVal val="0"/>
          <c:showCatName val="0"/>
          <c:showSerName val="0"/>
          <c:showPercent val="0"/>
          <c:showBubbleSize val="0"/>
        </c:dLbls>
        <c:marker val="1"/>
        <c:smooth val="0"/>
        <c:axId val="122587823"/>
        <c:axId val="2147103119"/>
      </c:lineChart>
      <c:scatterChart>
        <c:scatterStyle val="lineMarker"/>
        <c:varyColors val="0"/>
        <c:ser>
          <c:idx val="3"/>
          <c:order val="3"/>
          <c:tx>
            <c:strRef>
              <c:f>[1]PIVOT!$AC$4</c:f>
              <c:strCache>
                <c:ptCount val="1"/>
                <c:pt idx="0">
                  <c:v>DÉCOR</c:v>
                </c:pt>
              </c:strCache>
            </c:strRef>
          </c:tx>
          <c:spPr>
            <a:ln w="28575" cap="rnd">
              <a:noFill/>
              <a:round/>
            </a:ln>
            <a:effectLst/>
          </c:spPr>
          <c:marker>
            <c:symbol val="circle"/>
            <c:size val="5"/>
            <c:spPr>
              <a:solidFill>
                <a:schemeClr val="accent4"/>
              </a:solidFill>
              <a:ln w="9525">
                <a:solidFill>
                  <a:schemeClr val="accent4"/>
                </a:solidFill>
              </a:ln>
              <a:effectLst/>
            </c:spPr>
          </c:marker>
          <c:dLbls>
            <c:spPr>
              <a:pattFill prst="pct5">
                <a:fgClr>
                  <a:srgbClr val="49FDF9"/>
                </a:fgClr>
                <a:bgClr>
                  <a:srgbClr val="49FDF9"/>
                </a:bgClr>
              </a:patt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yVal>
            <c:numRef>
              <c:f>[1]PIVOT!$AC$5:$AC$16</c:f>
              <c:numCache>
                <c:formatCode>General</c:formatCode>
                <c:ptCount val="12"/>
                <c:pt idx="0">
                  <c:v>350</c:v>
                </c:pt>
                <c:pt idx="1">
                  <c:v>225</c:v>
                </c:pt>
                <c:pt idx="2">
                  <c:v>220</c:v>
                </c:pt>
                <c:pt idx="3">
                  <c:v>325</c:v>
                </c:pt>
                <c:pt idx="4">
                  <c:v>240</c:v>
                </c:pt>
                <c:pt idx="5">
                  <c:v>295</c:v>
                </c:pt>
                <c:pt idx="6">
                  <c:v>425</c:v>
                </c:pt>
                <c:pt idx="7">
                  <c:v>440</c:v>
                </c:pt>
                <c:pt idx="8">
                  <c:v>275</c:v>
                </c:pt>
                <c:pt idx="9">
                  <c:v>350</c:v>
                </c:pt>
                <c:pt idx="10">
                  <c:v>290</c:v>
                </c:pt>
                <c:pt idx="11">
                  <c:v>375</c:v>
                </c:pt>
              </c:numCache>
            </c:numRef>
          </c:yVal>
          <c:smooth val="0"/>
          <c:extLst>
            <c:ext xmlns:c16="http://schemas.microsoft.com/office/drawing/2014/chart" uri="{C3380CC4-5D6E-409C-BE32-E72D297353CC}">
              <c16:uniqueId val="{0000001B-A007-41E6-AADE-F1DAE616A117}"/>
            </c:ext>
          </c:extLst>
        </c:ser>
        <c:dLbls>
          <c:showLegendKey val="0"/>
          <c:showVal val="0"/>
          <c:showCatName val="0"/>
          <c:showSerName val="0"/>
          <c:showPercent val="0"/>
          <c:showBubbleSize val="0"/>
        </c:dLbls>
        <c:axId val="122587823"/>
        <c:axId val="2147103119"/>
      </c:scatterChart>
      <c:catAx>
        <c:axId val="12258782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7103119"/>
        <c:crosses val="autoZero"/>
        <c:auto val="1"/>
        <c:lblAlgn val="ctr"/>
        <c:lblOffset val="100"/>
        <c:noMultiLvlLbl val="0"/>
      </c:catAx>
      <c:valAx>
        <c:axId val="2147103119"/>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22587823"/>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solidFill>
                  <a:schemeClr val="bg1"/>
                </a:solidFill>
              </a:rPr>
              <a:t>CATEGORIES</a:t>
            </a:r>
          </a:p>
        </c:rich>
      </c:tx>
      <c:overlay val="0"/>
      <c:spPr>
        <a:solidFill>
          <a:schemeClr val="tx1"/>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filled"/>
        <c:varyColors val="0"/>
        <c:ser>
          <c:idx val="0"/>
          <c:order val="0"/>
          <c:tx>
            <c:strRef>
              <c:f>[1]PIVOT!$AP$11</c:f>
              <c:strCache>
                <c:ptCount val="1"/>
                <c:pt idx="0">
                  <c:v>inventory</c:v>
                </c:pt>
              </c:strCache>
            </c:strRef>
          </c:tx>
          <c:spPr>
            <a:solidFill>
              <a:schemeClr val="accent1"/>
            </a:solidFill>
            <a:ln>
              <a:noFill/>
            </a:ln>
            <a:effectLst/>
          </c:spPr>
          <c:cat>
            <c:strRef>
              <c:f>[1]PIVOT!$AO$12:$AO$17</c:f>
              <c:strCache>
                <c:ptCount val="6"/>
                <c:pt idx="0">
                  <c:v>Sum of Storage-I</c:v>
                </c:pt>
                <c:pt idx="1">
                  <c:v>Sum of Handling-I</c:v>
                </c:pt>
                <c:pt idx="2">
                  <c:v>Sum of Packaging-I</c:v>
                </c:pt>
                <c:pt idx="3">
                  <c:v>Sum of Automation-I</c:v>
                </c:pt>
                <c:pt idx="4">
                  <c:v>Sum of Accessories-I</c:v>
                </c:pt>
                <c:pt idx="5">
                  <c:v>Sum of Containers-I</c:v>
                </c:pt>
              </c:strCache>
            </c:strRef>
          </c:cat>
          <c:val>
            <c:numRef>
              <c:f>[1]PIVOT!$AP$12:$AP$17</c:f>
              <c:numCache>
                <c:formatCode>General</c:formatCode>
                <c:ptCount val="6"/>
                <c:pt idx="0">
                  <c:v>2763</c:v>
                </c:pt>
                <c:pt idx="1">
                  <c:v>3786</c:v>
                </c:pt>
                <c:pt idx="2">
                  <c:v>3490</c:v>
                </c:pt>
                <c:pt idx="3">
                  <c:v>5067</c:v>
                </c:pt>
                <c:pt idx="4">
                  <c:v>3536</c:v>
                </c:pt>
                <c:pt idx="5">
                  <c:v>4128</c:v>
                </c:pt>
              </c:numCache>
            </c:numRef>
          </c:val>
          <c:extLst>
            <c:ext xmlns:c16="http://schemas.microsoft.com/office/drawing/2014/chart" uri="{C3380CC4-5D6E-409C-BE32-E72D297353CC}">
              <c16:uniqueId val="{00000000-B86E-41EC-AF35-51CE1C9175A4}"/>
            </c:ext>
          </c:extLst>
        </c:ser>
        <c:ser>
          <c:idx val="1"/>
          <c:order val="1"/>
          <c:tx>
            <c:strRef>
              <c:f>[1]PIVOT!$AQ$11</c:f>
              <c:strCache>
                <c:ptCount val="1"/>
                <c:pt idx="0">
                  <c:v>sales</c:v>
                </c:pt>
              </c:strCache>
            </c:strRef>
          </c:tx>
          <c:spPr>
            <a:solidFill>
              <a:srgbClr val="49FDF9"/>
            </a:solidFill>
            <a:ln>
              <a:gradFill>
                <a:gsLst>
                  <a:gs pos="23754">
                    <a:srgbClr val="49FDF9"/>
                  </a:gs>
                  <a:gs pos="0">
                    <a:srgbClr val="49FDF9"/>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cat>
            <c:strRef>
              <c:f>[1]PIVOT!$AO$12:$AO$17</c:f>
              <c:strCache>
                <c:ptCount val="6"/>
                <c:pt idx="0">
                  <c:v>Sum of Storage-I</c:v>
                </c:pt>
                <c:pt idx="1">
                  <c:v>Sum of Handling-I</c:v>
                </c:pt>
                <c:pt idx="2">
                  <c:v>Sum of Packaging-I</c:v>
                </c:pt>
                <c:pt idx="3">
                  <c:v>Sum of Automation-I</c:v>
                </c:pt>
                <c:pt idx="4">
                  <c:v>Sum of Accessories-I</c:v>
                </c:pt>
                <c:pt idx="5">
                  <c:v>Sum of Containers-I</c:v>
                </c:pt>
              </c:strCache>
            </c:strRef>
          </c:cat>
          <c:val>
            <c:numRef>
              <c:f>[1]PIVOT!$AQ$12:$AQ$17</c:f>
              <c:numCache>
                <c:formatCode>General</c:formatCode>
                <c:ptCount val="6"/>
                <c:pt idx="0">
                  <c:v>4389</c:v>
                </c:pt>
                <c:pt idx="1">
                  <c:v>4408</c:v>
                </c:pt>
                <c:pt idx="2">
                  <c:v>4549</c:v>
                </c:pt>
                <c:pt idx="3">
                  <c:v>3547</c:v>
                </c:pt>
                <c:pt idx="4">
                  <c:v>2444</c:v>
                </c:pt>
                <c:pt idx="5">
                  <c:v>3308</c:v>
                </c:pt>
              </c:numCache>
            </c:numRef>
          </c:val>
          <c:extLst>
            <c:ext xmlns:c16="http://schemas.microsoft.com/office/drawing/2014/chart" uri="{C3380CC4-5D6E-409C-BE32-E72D297353CC}">
              <c16:uniqueId val="{00000001-B86E-41EC-AF35-51CE1C9175A4}"/>
            </c:ext>
          </c:extLst>
        </c:ser>
        <c:dLbls>
          <c:showLegendKey val="0"/>
          <c:showVal val="0"/>
          <c:showCatName val="0"/>
          <c:showSerName val="0"/>
          <c:showPercent val="0"/>
          <c:showBubbleSize val="0"/>
        </c:dLbls>
        <c:axId val="242713583"/>
        <c:axId val="82512431"/>
      </c:radarChart>
      <c:catAx>
        <c:axId val="242713583"/>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82512431"/>
        <c:crosses val="autoZero"/>
        <c:auto val="1"/>
        <c:lblAlgn val="ctr"/>
        <c:lblOffset val="100"/>
        <c:noMultiLvlLbl val="0"/>
      </c:catAx>
      <c:valAx>
        <c:axId val="82512431"/>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242713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chart" Target="../charts/chart7.xml"/><Relationship Id="rId3" Type="http://schemas.openxmlformats.org/officeDocument/2006/relationships/image" Target="../media/image3.svg"/><Relationship Id="rId7" Type="http://schemas.openxmlformats.org/officeDocument/2006/relationships/chart" Target="../charts/chart1.xml"/><Relationship Id="rId12" Type="http://schemas.openxmlformats.org/officeDocument/2006/relationships/chart" Target="../charts/chart6.xml"/><Relationship Id="rId2" Type="http://schemas.openxmlformats.org/officeDocument/2006/relationships/image" Target="../media/image2.png"/><Relationship Id="rId16" Type="http://schemas.openxmlformats.org/officeDocument/2006/relationships/chart" Target="../charts/chart10.xml"/><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5.xml"/><Relationship Id="rId5" Type="http://schemas.openxmlformats.org/officeDocument/2006/relationships/image" Target="../media/image5.svg"/><Relationship Id="rId15" Type="http://schemas.openxmlformats.org/officeDocument/2006/relationships/chart" Target="../charts/chart9.xml"/><Relationship Id="rId10" Type="http://schemas.openxmlformats.org/officeDocument/2006/relationships/chart" Target="../charts/chart4.xml"/><Relationship Id="rId4" Type="http://schemas.openxmlformats.org/officeDocument/2006/relationships/image" Target="../media/image4.png"/><Relationship Id="rId9" Type="http://schemas.openxmlformats.org/officeDocument/2006/relationships/chart" Target="../charts/chart3.xml"/><Relationship Id="rId1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189</xdr:col>
      <xdr:colOff>175846</xdr:colOff>
      <xdr:row>278</xdr:row>
      <xdr:rowOff>0</xdr:rowOff>
    </xdr:to>
    <xdr:sp macro="" textlink="">
      <xdr:nvSpPr>
        <xdr:cNvPr id="44" name="Rectangle 43">
          <a:extLst>
            <a:ext uri="{FF2B5EF4-FFF2-40B4-BE49-F238E27FC236}">
              <a16:creationId xmlns:a16="http://schemas.microsoft.com/office/drawing/2014/main" id="{7A71ED36-34C4-D981-1623-74AB1EFA1455}"/>
            </a:ext>
          </a:extLst>
        </xdr:cNvPr>
        <xdr:cNvSpPr/>
      </xdr:nvSpPr>
      <xdr:spPr>
        <a:xfrm>
          <a:off x="0" y="0"/>
          <a:ext cx="115661978" cy="49961321"/>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ysClr val="windowText" lastClr="000000"/>
            </a:solidFill>
          </a:endParaRPr>
        </a:p>
      </xdr:txBody>
    </xdr:sp>
    <xdr:clientData/>
  </xdr:twoCellAnchor>
  <xdr:twoCellAnchor>
    <xdr:from>
      <xdr:col>0</xdr:col>
      <xdr:colOff>53340</xdr:colOff>
      <xdr:row>0</xdr:row>
      <xdr:rowOff>106680</xdr:rowOff>
    </xdr:from>
    <xdr:to>
      <xdr:col>1</xdr:col>
      <xdr:colOff>584940</xdr:colOff>
      <xdr:row>4</xdr:row>
      <xdr:rowOff>79375</xdr:rowOff>
    </xdr:to>
    <xdr:sp macro="" textlink="">
      <xdr:nvSpPr>
        <xdr:cNvPr id="3" name="Rectangle: Rounded Corners 2">
          <a:extLst>
            <a:ext uri="{FF2B5EF4-FFF2-40B4-BE49-F238E27FC236}">
              <a16:creationId xmlns:a16="http://schemas.microsoft.com/office/drawing/2014/main" id="{AD100282-C352-73BD-1BE4-81A09E46E7C1}"/>
            </a:ext>
          </a:extLst>
        </xdr:cNvPr>
        <xdr:cNvSpPr/>
      </xdr:nvSpPr>
      <xdr:spPr>
        <a:xfrm>
          <a:off x="53340" y="106680"/>
          <a:ext cx="1142788" cy="702945"/>
        </a:xfrm>
        <a:prstGeom prst="roundRect">
          <a:avLst/>
        </a:prstGeom>
        <a:gradFill flip="none" rotWithShape="1">
          <a:gsLst>
            <a:gs pos="100000">
              <a:schemeClr val="accent3">
                <a:lumMod val="60000"/>
                <a:lumOff val="40000"/>
              </a:schemeClr>
            </a:gs>
            <a:gs pos="0">
              <a:schemeClr val="accent6">
                <a:lumMod val="40000"/>
                <a:lumOff val="60000"/>
              </a:schemeClr>
            </a:gs>
          </a:gsLst>
          <a:path path="circle">
            <a:fillToRect r="100000" b="100000"/>
          </a:path>
          <a:tileRect l="-100000" t="-100000"/>
        </a:gradFill>
        <a:ln w="9525"/>
        <a:effectLst>
          <a:outerShdw blurRad="76200" dist="165100" dir="3960000" sx="108000" sy="108000" algn="ctr" rotWithShape="0">
            <a:schemeClr val="bg1">
              <a:lumMod val="95000"/>
              <a:alpha val="1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45642</xdr:colOff>
      <xdr:row>0</xdr:row>
      <xdr:rowOff>114608</xdr:rowOff>
    </xdr:from>
    <xdr:to>
      <xdr:col>23</xdr:col>
      <xdr:colOff>61960</xdr:colOff>
      <xdr:row>4</xdr:row>
      <xdr:rowOff>63500</xdr:rowOff>
    </xdr:to>
    <xdr:sp macro="" textlink="">
      <xdr:nvSpPr>
        <xdr:cNvPr id="4" name="Rectangle: Rounded Corners 3">
          <a:extLst>
            <a:ext uri="{FF2B5EF4-FFF2-40B4-BE49-F238E27FC236}">
              <a16:creationId xmlns:a16="http://schemas.microsoft.com/office/drawing/2014/main" id="{79DCD31C-512B-40A6-B603-03A87E6567C8}"/>
            </a:ext>
          </a:extLst>
        </xdr:cNvPr>
        <xdr:cNvSpPr/>
      </xdr:nvSpPr>
      <xdr:spPr>
        <a:xfrm>
          <a:off x="1268017" y="114608"/>
          <a:ext cx="12851256" cy="679142"/>
        </a:xfrm>
        <a:prstGeom prst="roundRect">
          <a:avLst/>
        </a:prstGeom>
        <a:gradFill flip="none" rotWithShape="1">
          <a:gsLst>
            <a:gs pos="99000">
              <a:schemeClr val="accent3">
                <a:lumMod val="60000"/>
                <a:lumOff val="40000"/>
              </a:schemeClr>
            </a:gs>
            <a:gs pos="0">
              <a:schemeClr val="accent6">
                <a:lumMod val="40000"/>
                <a:lumOff val="60000"/>
              </a:schemeClr>
            </a:gs>
          </a:gsLst>
          <a:path path="circle">
            <a:fillToRect r="100000" b="100000"/>
          </a:path>
          <a:tileRect l="-100000" t="-100000"/>
        </a:gradFill>
        <a:ln w="9525"/>
        <a:effectLst>
          <a:outerShdw blurRad="495300" dist="127000" dir="600000" sx="101000" sy="101000" algn="ctr" rotWithShape="0">
            <a:schemeClr val="bg1">
              <a:lumMod val="95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205740</xdr:colOff>
      <xdr:row>0</xdr:row>
      <xdr:rowOff>137160</xdr:rowOff>
    </xdr:from>
    <xdr:to>
      <xdr:col>19</xdr:col>
      <xdr:colOff>69272</xdr:colOff>
      <xdr:row>4</xdr:row>
      <xdr:rowOff>53340</xdr:rowOff>
    </xdr:to>
    <xdr:sp macro="" textlink="">
      <xdr:nvSpPr>
        <xdr:cNvPr id="9" name="TextBox 8">
          <a:extLst>
            <a:ext uri="{FF2B5EF4-FFF2-40B4-BE49-F238E27FC236}">
              <a16:creationId xmlns:a16="http://schemas.microsoft.com/office/drawing/2014/main" id="{6CC6BF5A-2C3C-C714-CE3A-FCEC30D4F5B2}"/>
            </a:ext>
          </a:extLst>
        </xdr:cNvPr>
        <xdr:cNvSpPr txBox="1"/>
      </xdr:nvSpPr>
      <xdr:spPr>
        <a:xfrm>
          <a:off x="1421861" y="137160"/>
          <a:ext cx="10200563" cy="6550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600" b="1">
              <a:solidFill>
                <a:schemeClr val="bg1"/>
              </a:solidFill>
            </a:rPr>
            <a:t>KPI DASHBOARD : CLIENTS ,SALES,&amp;INVENTORY</a:t>
          </a:r>
        </a:p>
      </xdr:txBody>
    </xdr:sp>
    <xdr:clientData/>
  </xdr:twoCellAnchor>
  <xdr:twoCellAnchor editAs="oneCell">
    <xdr:from>
      <xdr:col>0</xdr:col>
      <xdr:colOff>184355</xdr:colOff>
      <xdr:row>0</xdr:row>
      <xdr:rowOff>151320</xdr:rowOff>
    </xdr:from>
    <xdr:to>
      <xdr:col>1</xdr:col>
      <xdr:colOff>459943</xdr:colOff>
      <xdr:row>4</xdr:row>
      <xdr:rowOff>16044</xdr:rowOff>
    </xdr:to>
    <xdr:pic>
      <xdr:nvPicPr>
        <xdr:cNvPr id="13" name="Picture 12">
          <a:extLst>
            <a:ext uri="{FF2B5EF4-FFF2-40B4-BE49-F238E27FC236}">
              <a16:creationId xmlns:a16="http://schemas.microsoft.com/office/drawing/2014/main" id="{C39B918B-8431-7011-C0E9-AB0F33FD0CB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4355" y="151320"/>
          <a:ext cx="886007" cy="602143"/>
        </a:xfrm>
        <a:prstGeom prst="rect">
          <a:avLst/>
        </a:prstGeom>
      </xdr:spPr>
    </xdr:pic>
    <xdr:clientData/>
  </xdr:twoCellAnchor>
  <xdr:twoCellAnchor editAs="oneCell">
    <xdr:from>
      <xdr:col>17</xdr:col>
      <xdr:colOff>404859</xdr:colOff>
      <xdr:row>0</xdr:row>
      <xdr:rowOff>137160</xdr:rowOff>
    </xdr:from>
    <xdr:to>
      <xdr:col>19</xdr:col>
      <xdr:colOff>26168</xdr:colOff>
      <xdr:row>4</xdr:row>
      <xdr:rowOff>60960</xdr:rowOff>
    </xdr:to>
    <xdr:pic>
      <xdr:nvPicPr>
        <xdr:cNvPr id="15" name="Graphic 14" descr="Repeat with solid fill">
          <a:extLst>
            <a:ext uri="{FF2B5EF4-FFF2-40B4-BE49-F238E27FC236}">
              <a16:creationId xmlns:a16="http://schemas.microsoft.com/office/drawing/2014/main" id="{9D9FA069-0F56-4F1B-C9B4-C1DE98582232}"/>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flipH="1">
          <a:off x="11377659" y="137160"/>
          <a:ext cx="840509" cy="655320"/>
        </a:xfrm>
        <a:prstGeom prst="rect">
          <a:avLst/>
        </a:prstGeom>
      </xdr:spPr>
    </xdr:pic>
    <xdr:clientData/>
  </xdr:twoCellAnchor>
  <xdr:twoCellAnchor editAs="oneCell">
    <xdr:from>
      <xdr:col>19</xdr:col>
      <xdr:colOff>477212</xdr:colOff>
      <xdr:row>0</xdr:row>
      <xdr:rowOff>175260</xdr:rowOff>
    </xdr:from>
    <xdr:to>
      <xdr:col>21</xdr:col>
      <xdr:colOff>184729</xdr:colOff>
      <xdr:row>4</xdr:row>
      <xdr:rowOff>83820</xdr:rowOff>
    </xdr:to>
    <xdr:pic>
      <xdr:nvPicPr>
        <xdr:cNvPr id="17" name="Graphic 16" descr="Monitor with solid fill">
          <a:extLst>
            <a:ext uri="{FF2B5EF4-FFF2-40B4-BE49-F238E27FC236}">
              <a16:creationId xmlns:a16="http://schemas.microsoft.com/office/drawing/2014/main" id="{6E78E811-3B54-F567-D9C7-9B0C3487DFFA}"/>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2638424" y="175260"/>
          <a:ext cx="923637" cy="647469"/>
        </a:xfrm>
        <a:prstGeom prst="rect">
          <a:avLst/>
        </a:prstGeom>
      </xdr:spPr>
    </xdr:pic>
    <xdr:clientData/>
  </xdr:twoCellAnchor>
  <xdr:twoCellAnchor>
    <xdr:from>
      <xdr:col>0</xdr:col>
      <xdr:colOff>91440</xdr:colOff>
      <xdr:row>4</xdr:row>
      <xdr:rowOff>134938</xdr:rowOff>
    </xdr:from>
    <xdr:to>
      <xdr:col>5</xdr:col>
      <xdr:colOff>539750</xdr:colOff>
      <xdr:row>12</xdr:row>
      <xdr:rowOff>119063</xdr:rowOff>
    </xdr:to>
    <xdr:sp macro="" textlink="">
      <xdr:nvSpPr>
        <xdr:cNvPr id="18" name="Rectangle: Rounded Corners 17">
          <a:extLst>
            <a:ext uri="{FF2B5EF4-FFF2-40B4-BE49-F238E27FC236}">
              <a16:creationId xmlns:a16="http://schemas.microsoft.com/office/drawing/2014/main" id="{47F94F2E-C892-40C1-818D-9AFB151204F5}"/>
            </a:ext>
          </a:extLst>
        </xdr:cNvPr>
        <xdr:cNvSpPr/>
      </xdr:nvSpPr>
      <xdr:spPr>
        <a:xfrm>
          <a:off x="91440" y="865188"/>
          <a:ext cx="3504248" cy="1444625"/>
        </a:xfrm>
        <a:prstGeom prst="roundRect">
          <a:avLst/>
        </a:prstGeom>
        <a:gradFill flip="none" rotWithShape="1">
          <a:gsLst>
            <a:gs pos="100000">
              <a:schemeClr val="accent6">
                <a:lumMod val="40000"/>
                <a:lumOff val="60000"/>
              </a:schemeClr>
            </a:gs>
            <a:gs pos="67000">
              <a:schemeClr val="bg2">
                <a:lumMod val="25000"/>
              </a:schemeClr>
            </a:gs>
          </a:gsLst>
          <a:path path="circle">
            <a:fillToRect r="100000" b="100000"/>
          </a:path>
          <a:tileRect l="-100000" t="-100000"/>
        </a:gradFill>
        <a:ln w="9525">
          <a:solidFill>
            <a:schemeClr val="accent1">
              <a:shade val="15000"/>
              <a:alpha val="94000"/>
            </a:schemeClr>
          </a:solidFill>
        </a:ln>
        <a:effectLst>
          <a:outerShdw blurRad="50800" dist="254000" dir="2700000" sx="1000" sy="1000" algn="ctr" rotWithShape="0">
            <a:schemeClr val="bg1">
              <a:lumMod val="95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388937</xdr:colOff>
      <xdr:row>4</xdr:row>
      <xdr:rowOff>111126</xdr:rowOff>
    </xdr:from>
    <xdr:to>
      <xdr:col>23</xdr:col>
      <xdr:colOff>76314</xdr:colOff>
      <xdr:row>12</xdr:row>
      <xdr:rowOff>55563</xdr:rowOff>
    </xdr:to>
    <xdr:sp macro="" textlink="">
      <xdr:nvSpPr>
        <xdr:cNvPr id="19" name="Rectangle: Rounded Corners 18">
          <a:extLst>
            <a:ext uri="{FF2B5EF4-FFF2-40B4-BE49-F238E27FC236}">
              <a16:creationId xmlns:a16="http://schemas.microsoft.com/office/drawing/2014/main" id="{75B17423-9E9D-4754-B087-C76A2D2C7AA3}"/>
            </a:ext>
          </a:extLst>
        </xdr:cNvPr>
        <xdr:cNvSpPr/>
      </xdr:nvSpPr>
      <xdr:spPr>
        <a:xfrm>
          <a:off x="10779125" y="841376"/>
          <a:ext cx="3354502" cy="1404937"/>
        </a:xfrm>
        <a:prstGeom prst="roundRect">
          <a:avLst/>
        </a:prstGeom>
        <a:gradFill flip="none" rotWithShape="1">
          <a:gsLst>
            <a:gs pos="99000">
              <a:srgbClr val="3333FF"/>
            </a:gs>
            <a:gs pos="67000">
              <a:schemeClr val="bg2">
                <a:lumMod val="25000"/>
              </a:schemeClr>
            </a:gs>
          </a:gsLst>
          <a:path path="circle">
            <a:fillToRect r="100000" b="100000"/>
          </a:path>
          <a:tileRect l="-100000" t="-100000"/>
        </a:gradFill>
        <a:ln w="9525">
          <a:solidFill>
            <a:schemeClr val="accent1">
              <a:shade val="15000"/>
              <a:alpha val="94000"/>
            </a:schemeClr>
          </a:solidFill>
        </a:ln>
        <a:effectLst>
          <a:outerShdw blurRad="50800" dist="254000" dir="2700000" sx="1000" sy="1000" algn="ctr" rotWithShape="0">
            <a:schemeClr val="bg1">
              <a:lumMod val="95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IN" sz="1400" b="1">
              <a:solidFill>
                <a:schemeClr val="lt1"/>
              </a:solidFill>
              <a:effectLst/>
              <a:latin typeface="+mn-lt"/>
              <a:ea typeface="+mn-ea"/>
              <a:cs typeface="+mn-cs"/>
            </a:rPr>
            <a:t>KPI </a:t>
          </a:r>
          <a:r>
            <a:rPr lang="en-IN" sz="1400" b="1" baseline="0">
              <a:solidFill>
                <a:schemeClr val="lt1"/>
              </a:solidFill>
              <a:effectLst/>
              <a:latin typeface="+mn-lt"/>
              <a:ea typeface="+mn-ea"/>
              <a:cs typeface="+mn-cs"/>
            </a:rPr>
            <a:t> Average Check</a:t>
          </a:r>
          <a:endParaRPr lang="en-IN" sz="1400">
            <a:effectLst/>
          </a:endParaRPr>
        </a:p>
        <a:p>
          <a:pPr algn="l"/>
          <a:endParaRPr lang="en-IN" sz="1100"/>
        </a:p>
      </xdr:txBody>
    </xdr:sp>
    <xdr:clientData/>
  </xdr:twoCellAnchor>
  <xdr:twoCellAnchor>
    <xdr:from>
      <xdr:col>11</xdr:col>
      <xdr:colOff>569575</xdr:colOff>
      <xdr:row>4</xdr:row>
      <xdr:rowOff>127001</xdr:rowOff>
    </xdr:from>
    <xdr:to>
      <xdr:col>17</xdr:col>
      <xdr:colOff>341311</xdr:colOff>
      <xdr:row>12</xdr:row>
      <xdr:rowOff>87313</xdr:rowOff>
    </xdr:to>
    <xdr:sp macro="" textlink="">
      <xdr:nvSpPr>
        <xdr:cNvPr id="20" name="Rectangle: Rounded Corners 19">
          <a:extLst>
            <a:ext uri="{FF2B5EF4-FFF2-40B4-BE49-F238E27FC236}">
              <a16:creationId xmlns:a16="http://schemas.microsoft.com/office/drawing/2014/main" id="{F3B08902-A6C8-4E17-8157-3206A976D128}"/>
            </a:ext>
          </a:extLst>
        </xdr:cNvPr>
        <xdr:cNvSpPr/>
      </xdr:nvSpPr>
      <xdr:spPr>
        <a:xfrm>
          <a:off x="7292638" y="857251"/>
          <a:ext cx="3438861" cy="1420812"/>
        </a:xfrm>
        <a:prstGeom prst="roundRect">
          <a:avLst/>
        </a:prstGeom>
        <a:gradFill flip="none" rotWithShape="1">
          <a:gsLst>
            <a:gs pos="100000">
              <a:schemeClr val="tx2">
                <a:lumMod val="25000"/>
                <a:lumOff val="75000"/>
              </a:schemeClr>
            </a:gs>
            <a:gs pos="67000">
              <a:schemeClr val="bg2">
                <a:lumMod val="25000"/>
              </a:schemeClr>
            </a:gs>
          </a:gsLst>
          <a:path path="circle">
            <a:fillToRect r="100000" b="100000"/>
          </a:path>
          <a:tileRect l="-100000" t="-100000"/>
        </a:gradFill>
        <a:ln w="9525">
          <a:solidFill>
            <a:schemeClr val="accent1">
              <a:shade val="15000"/>
              <a:alpha val="94000"/>
            </a:schemeClr>
          </a:solidFill>
        </a:ln>
        <a:effectLst>
          <a:outerShdw blurRad="50800" dist="254000" dir="2700000" sx="1000" sy="1000" algn="ctr" rotWithShape="0">
            <a:schemeClr val="bg1">
              <a:lumMod val="95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IN" sz="1400" b="1">
              <a:solidFill>
                <a:schemeClr val="lt1"/>
              </a:solidFill>
              <a:effectLst/>
              <a:latin typeface="+mn-lt"/>
              <a:ea typeface="+mn-ea"/>
              <a:cs typeface="+mn-cs"/>
            </a:rPr>
            <a:t>KPI </a:t>
          </a:r>
          <a:r>
            <a:rPr lang="en-IN" sz="1400" b="1" baseline="0">
              <a:solidFill>
                <a:schemeClr val="lt1"/>
              </a:solidFill>
              <a:effectLst/>
              <a:latin typeface="+mn-lt"/>
              <a:ea typeface="+mn-ea"/>
              <a:cs typeface="+mn-cs"/>
            </a:rPr>
            <a:t> Cost</a:t>
          </a:r>
          <a:endParaRPr lang="en-IN" sz="1100"/>
        </a:p>
      </xdr:txBody>
    </xdr:sp>
    <xdr:clientData/>
  </xdr:twoCellAnchor>
  <xdr:twoCellAnchor>
    <xdr:from>
      <xdr:col>6</xdr:col>
      <xdr:colOff>0</xdr:colOff>
      <xdr:row>4</xdr:row>
      <xdr:rowOff>119063</xdr:rowOff>
    </xdr:from>
    <xdr:to>
      <xdr:col>11</xdr:col>
      <xdr:colOff>508000</xdr:colOff>
      <xdr:row>12</xdr:row>
      <xdr:rowOff>87313</xdr:rowOff>
    </xdr:to>
    <xdr:sp macro="" textlink="">
      <xdr:nvSpPr>
        <xdr:cNvPr id="21" name="Rectangle: Rounded Corners 20">
          <a:extLst>
            <a:ext uri="{FF2B5EF4-FFF2-40B4-BE49-F238E27FC236}">
              <a16:creationId xmlns:a16="http://schemas.microsoft.com/office/drawing/2014/main" id="{4A7CC27A-F5C2-4C73-8DF6-7CCAF7BD9D10}"/>
            </a:ext>
          </a:extLst>
        </xdr:cNvPr>
        <xdr:cNvSpPr/>
      </xdr:nvSpPr>
      <xdr:spPr>
        <a:xfrm>
          <a:off x="3667125" y="849313"/>
          <a:ext cx="3563938" cy="1428750"/>
        </a:xfrm>
        <a:prstGeom prst="roundRect">
          <a:avLst/>
        </a:prstGeom>
        <a:gradFill flip="none" rotWithShape="1">
          <a:gsLst>
            <a:gs pos="100000">
              <a:schemeClr val="accent5">
                <a:lumMod val="60000"/>
                <a:lumOff val="40000"/>
              </a:schemeClr>
            </a:gs>
            <a:gs pos="67000">
              <a:schemeClr val="bg2">
                <a:lumMod val="25000"/>
              </a:schemeClr>
            </a:gs>
          </a:gsLst>
          <a:path path="circle">
            <a:fillToRect r="100000" b="100000"/>
          </a:path>
          <a:tileRect l="-100000" t="-100000"/>
        </a:gradFill>
        <a:ln w="9525">
          <a:solidFill>
            <a:schemeClr val="accent1">
              <a:shade val="15000"/>
              <a:alpha val="94000"/>
            </a:schemeClr>
          </a:solidFill>
        </a:ln>
        <a:effectLst>
          <a:outerShdw blurRad="50800" dist="254000" dir="2700000" sx="1000" sy="1000" algn="ctr" rotWithShape="0">
            <a:schemeClr val="bg1">
              <a:lumMod val="95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IN" sz="1400" b="1">
              <a:solidFill>
                <a:schemeClr val="lt1"/>
              </a:solidFill>
              <a:effectLst/>
              <a:latin typeface="+mn-lt"/>
              <a:ea typeface="+mn-ea"/>
              <a:cs typeface="+mn-cs"/>
            </a:rPr>
            <a:t>KPI </a:t>
          </a:r>
          <a:r>
            <a:rPr lang="en-IN" sz="1400" b="1" baseline="0">
              <a:solidFill>
                <a:schemeClr val="lt1"/>
              </a:solidFill>
              <a:effectLst/>
              <a:latin typeface="+mn-lt"/>
              <a:ea typeface="+mn-ea"/>
              <a:cs typeface="+mn-cs"/>
            </a:rPr>
            <a:t> New Client</a:t>
          </a:r>
          <a:endParaRPr lang="en-IN" sz="1400">
            <a:effectLst/>
          </a:endParaRPr>
        </a:p>
        <a:p>
          <a:pPr algn="l"/>
          <a:endParaRPr lang="en-IN" sz="1100"/>
        </a:p>
      </xdr:txBody>
    </xdr:sp>
    <xdr:clientData/>
  </xdr:twoCellAnchor>
  <xdr:twoCellAnchor>
    <xdr:from>
      <xdr:col>0</xdr:col>
      <xdr:colOff>231150</xdr:colOff>
      <xdr:row>5</xdr:row>
      <xdr:rowOff>29584</xdr:rowOff>
    </xdr:from>
    <xdr:to>
      <xdr:col>2</xdr:col>
      <xdr:colOff>587375</xdr:colOff>
      <xdr:row>7</xdr:row>
      <xdr:rowOff>103187</xdr:rowOff>
    </xdr:to>
    <xdr:sp macro="" textlink="">
      <xdr:nvSpPr>
        <xdr:cNvPr id="22" name="TextBox 21">
          <a:extLst>
            <a:ext uri="{FF2B5EF4-FFF2-40B4-BE49-F238E27FC236}">
              <a16:creationId xmlns:a16="http://schemas.microsoft.com/office/drawing/2014/main" id="{315BE3A7-A629-DE66-AB0F-AB70BD1AE49A}"/>
            </a:ext>
          </a:extLst>
        </xdr:cNvPr>
        <xdr:cNvSpPr txBox="1"/>
      </xdr:nvSpPr>
      <xdr:spPr>
        <a:xfrm>
          <a:off x="231150" y="942397"/>
          <a:ext cx="1578600" cy="4387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bg1"/>
              </a:solidFill>
            </a:rPr>
            <a:t>KPI Sales</a:t>
          </a:r>
        </a:p>
      </xdr:txBody>
    </xdr:sp>
    <xdr:clientData/>
  </xdr:twoCellAnchor>
  <xdr:twoCellAnchor>
    <xdr:from>
      <xdr:col>0</xdr:col>
      <xdr:colOff>176308</xdr:colOff>
      <xdr:row>10</xdr:row>
      <xdr:rowOff>19483</xdr:rowOff>
    </xdr:from>
    <xdr:to>
      <xdr:col>2</xdr:col>
      <xdr:colOff>60854</xdr:colOff>
      <xdr:row>12</xdr:row>
      <xdr:rowOff>63500</xdr:rowOff>
    </xdr:to>
    <xdr:sp macro="" textlink="PIVOT!T24">
      <xdr:nvSpPr>
        <xdr:cNvPr id="5" name="TextBox 4">
          <a:extLst>
            <a:ext uri="{FF2B5EF4-FFF2-40B4-BE49-F238E27FC236}">
              <a16:creationId xmlns:a16="http://schemas.microsoft.com/office/drawing/2014/main" id="{38645DBA-3D57-7F33-20C2-9119F6C20EBA}"/>
            </a:ext>
          </a:extLst>
        </xdr:cNvPr>
        <xdr:cNvSpPr txBox="1"/>
      </xdr:nvSpPr>
      <xdr:spPr>
        <a:xfrm>
          <a:off x="176308" y="1845108"/>
          <a:ext cx="1106921" cy="4091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34C8CF4-CAF2-45EC-A25E-20B27C20ACB5}" type="TxLink">
            <a:rPr lang="en-US" sz="2400" b="1" i="0" u="none" strike="noStrike">
              <a:solidFill>
                <a:schemeClr val="bg1"/>
              </a:solidFill>
              <a:latin typeface="Aptos Narrow"/>
            </a:rPr>
            <a:pPr/>
            <a:t>3,810</a:t>
          </a:fld>
          <a:endParaRPr lang="en-IN" sz="2400" b="1">
            <a:solidFill>
              <a:schemeClr val="bg1"/>
            </a:solidFill>
          </a:endParaRPr>
        </a:p>
      </xdr:txBody>
    </xdr:sp>
    <xdr:clientData/>
  </xdr:twoCellAnchor>
  <xdr:twoCellAnchor>
    <xdr:from>
      <xdr:col>12</xdr:col>
      <xdr:colOff>123152</xdr:colOff>
      <xdr:row>9</xdr:row>
      <xdr:rowOff>115455</xdr:rowOff>
    </xdr:from>
    <xdr:to>
      <xdr:col>14</xdr:col>
      <xdr:colOff>46183</xdr:colOff>
      <xdr:row>12</xdr:row>
      <xdr:rowOff>76971</xdr:rowOff>
    </xdr:to>
    <xdr:sp macro="" textlink="">
      <xdr:nvSpPr>
        <xdr:cNvPr id="7" name="TextBox 6" hidden="1">
          <a:extLst>
            <a:ext uri="{FF2B5EF4-FFF2-40B4-BE49-F238E27FC236}">
              <a16:creationId xmlns:a16="http://schemas.microsoft.com/office/drawing/2014/main" id="{7BD56DA8-EE7F-47CB-9CF4-28451C4D3CD4}"/>
            </a:ext>
          </a:extLst>
        </xdr:cNvPr>
        <xdr:cNvSpPr txBox="1"/>
      </xdr:nvSpPr>
      <xdr:spPr>
        <a:xfrm>
          <a:off x="7419879" y="1778000"/>
          <a:ext cx="1139152" cy="5156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twoCellAnchor>
    <xdr:from>
      <xdr:col>17</xdr:col>
      <xdr:colOff>607829</xdr:colOff>
      <xdr:row>9</xdr:row>
      <xdr:rowOff>161637</xdr:rowOff>
    </xdr:from>
    <xdr:to>
      <xdr:col>19</xdr:col>
      <xdr:colOff>423101</xdr:colOff>
      <xdr:row>12</xdr:row>
      <xdr:rowOff>61037</xdr:rowOff>
    </xdr:to>
    <xdr:sp macro="" textlink="">
      <xdr:nvSpPr>
        <xdr:cNvPr id="8" name="TextBox 7" hidden="1">
          <a:extLst>
            <a:ext uri="{FF2B5EF4-FFF2-40B4-BE49-F238E27FC236}">
              <a16:creationId xmlns:a16="http://schemas.microsoft.com/office/drawing/2014/main" id="{6B63DB73-5F8B-477A-8B88-E5C815536042}"/>
            </a:ext>
          </a:extLst>
        </xdr:cNvPr>
        <xdr:cNvSpPr txBox="1"/>
      </xdr:nvSpPr>
      <xdr:spPr>
        <a:xfrm>
          <a:off x="10944859" y="1824182"/>
          <a:ext cx="1031394" cy="453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twoCellAnchor>
    <xdr:from>
      <xdr:col>6</xdr:col>
      <xdr:colOff>146242</xdr:colOff>
      <xdr:row>9</xdr:row>
      <xdr:rowOff>161637</xdr:rowOff>
    </xdr:from>
    <xdr:to>
      <xdr:col>8</xdr:col>
      <xdr:colOff>30788</xdr:colOff>
      <xdr:row>12</xdr:row>
      <xdr:rowOff>23091</xdr:rowOff>
    </xdr:to>
    <xdr:sp macro="" textlink="PIVOT!T25">
      <xdr:nvSpPr>
        <xdr:cNvPr id="10" name="TextBox 9" hidden="1">
          <a:extLst>
            <a:ext uri="{FF2B5EF4-FFF2-40B4-BE49-F238E27FC236}">
              <a16:creationId xmlns:a16="http://schemas.microsoft.com/office/drawing/2014/main" id="{B34E9788-938D-4D00-8C79-24DFFE1429C3}"/>
            </a:ext>
          </a:extLst>
        </xdr:cNvPr>
        <xdr:cNvSpPr txBox="1"/>
      </xdr:nvSpPr>
      <xdr:spPr>
        <a:xfrm>
          <a:off x="3794606" y="1824182"/>
          <a:ext cx="1100667" cy="415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841945A-C7EB-4453-B409-87363D9D992E}" type="TxLink">
            <a:rPr lang="en-US" sz="1100" b="0" i="0" u="none" strike="noStrike">
              <a:solidFill>
                <a:srgbClr val="000000"/>
              </a:solidFill>
              <a:latin typeface="Aptos Narrow"/>
            </a:rPr>
            <a:pPr/>
            <a:t>300</a:t>
          </a:fld>
          <a:endParaRPr lang="en-IN" sz="2400" b="1">
            <a:solidFill>
              <a:schemeClr val="bg1"/>
            </a:solidFill>
          </a:endParaRPr>
        </a:p>
      </xdr:txBody>
    </xdr:sp>
    <xdr:clientData/>
  </xdr:twoCellAnchor>
  <xdr:oneCellAnchor>
    <xdr:from>
      <xdr:col>9</xdr:col>
      <xdr:colOff>107758</xdr:colOff>
      <xdr:row>11</xdr:row>
      <xdr:rowOff>138545</xdr:rowOff>
    </xdr:from>
    <xdr:ext cx="184731" cy="264560"/>
    <xdr:sp macro="" textlink="">
      <xdr:nvSpPr>
        <xdr:cNvPr id="11" name="TextBox 10">
          <a:extLst>
            <a:ext uri="{FF2B5EF4-FFF2-40B4-BE49-F238E27FC236}">
              <a16:creationId xmlns:a16="http://schemas.microsoft.com/office/drawing/2014/main" id="{EF7F2366-50B9-0704-EDC2-DE1C2BD0E256}"/>
            </a:ext>
          </a:extLst>
        </xdr:cNvPr>
        <xdr:cNvSpPr txBox="1"/>
      </xdr:nvSpPr>
      <xdr:spPr>
        <a:xfrm>
          <a:off x="5580303" y="217054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twoCellAnchor>
    <xdr:from>
      <xdr:col>6</xdr:col>
      <xdr:colOff>102850</xdr:colOff>
      <xdr:row>10</xdr:row>
      <xdr:rowOff>867</xdr:rowOff>
    </xdr:from>
    <xdr:to>
      <xdr:col>7</xdr:col>
      <xdr:colOff>598583</xdr:colOff>
      <xdr:row>12</xdr:row>
      <xdr:rowOff>44884</xdr:rowOff>
    </xdr:to>
    <xdr:sp macro="" textlink="PIVOT!T25">
      <xdr:nvSpPr>
        <xdr:cNvPr id="14" name="TextBox 13">
          <a:extLst>
            <a:ext uri="{FF2B5EF4-FFF2-40B4-BE49-F238E27FC236}">
              <a16:creationId xmlns:a16="http://schemas.microsoft.com/office/drawing/2014/main" id="{82657ACC-697E-4639-93B1-93B6A107B834}"/>
            </a:ext>
          </a:extLst>
        </xdr:cNvPr>
        <xdr:cNvSpPr txBox="1"/>
      </xdr:nvSpPr>
      <xdr:spPr>
        <a:xfrm>
          <a:off x="3769975" y="1826492"/>
          <a:ext cx="1106921" cy="4091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86559C3-A9CA-4292-8527-475208EBF2BB}" type="TxLink">
            <a:rPr lang="en-US" sz="2000" b="1" i="0" u="none" strike="noStrike">
              <a:solidFill>
                <a:schemeClr val="bg1"/>
              </a:solidFill>
              <a:latin typeface="Aptos Narrow"/>
            </a:rPr>
            <a:pPr/>
            <a:t>300</a:t>
          </a:fld>
          <a:endParaRPr lang="en-IN" sz="2000" b="1">
            <a:solidFill>
              <a:schemeClr val="bg1"/>
            </a:solidFill>
          </a:endParaRPr>
        </a:p>
      </xdr:txBody>
    </xdr:sp>
    <xdr:clientData/>
  </xdr:twoCellAnchor>
  <xdr:twoCellAnchor>
    <xdr:from>
      <xdr:col>12</xdr:col>
      <xdr:colOff>52436</xdr:colOff>
      <xdr:row>10</xdr:row>
      <xdr:rowOff>41957</xdr:rowOff>
    </xdr:from>
    <xdr:to>
      <xdr:col>13</xdr:col>
      <xdr:colOff>545042</xdr:colOff>
      <xdr:row>12</xdr:row>
      <xdr:rowOff>85974</xdr:rowOff>
    </xdr:to>
    <xdr:sp macro="" textlink="PIVOT!T26">
      <xdr:nvSpPr>
        <xdr:cNvPr id="16" name="TextBox 15">
          <a:extLst>
            <a:ext uri="{FF2B5EF4-FFF2-40B4-BE49-F238E27FC236}">
              <a16:creationId xmlns:a16="http://schemas.microsoft.com/office/drawing/2014/main" id="{00AD50BF-F327-4B11-8A31-A78C7A4D9891}"/>
            </a:ext>
          </a:extLst>
        </xdr:cNvPr>
        <xdr:cNvSpPr txBox="1"/>
      </xdr:nvSpPr>
      <xdr:spPr>
        <a:xfrm>
          <a:off x="7386686" y="1867582"/>
          <a:ext cx="1103794" cy="4091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082BB95-BFAD-49FC-82B1-D4A9CAF0FEF7}" type="TxLink">
            <a:rPr lang="en-US" sz="2000" b="1" i="0" u="none" strike="noStrike">
              <a:solidFill>
                <a:schemeClr val="bg1"/>
              </a:solidFill>
              <a:latin typeface="Aptos Narrow"/>
            </a:rPr>
            <a:pPr/>
            <a:t>214</a:t>
          </a:fld>
          <a:endParaRPr lang="en-IN" sz="2000" b="1">
            <a:solidFill>
              <a:schemeClr val="bg1"/>
            </a:solidFill>
          </a:endParaRPr>
        </a:p>
      </xdr:txBody>
    </xdr:sp>
    <xdr:clientData/>
  </xdr:twoCellAnchor>
  <xdr:twoCellAnchor>
    <xdr:from>
      <xdr:col>18</xdr:col>
      <xdr:colOff>69042</xdr:colOff>
      <xdr:row>9</xdr:row>
      <xdr:rowOff>103187</xdr:rowOff>
    </xdr:from>
    <xdr:to>
      <xdr:col>19</xdr:col>
      <xdr:colOff>561648</xdr:colOff>
      <xdr:row>11</xdr:row>
      <xdr:rowOff>158750</xdr:rowOff>
    </xdr:to>
    <xdr:sp macro="" textlink="PIVOT!T27">
      <xdr:nvSpPr>
        <xdr:cNvPr id="23" name="TextBox 22">
          <a:extLst>
            <a:ext uri="{FF2B5EF4-FFF2-40B4-BE49-F238E27FC236}">
              <a16:creationId xmlns:a16="http://schemas.microsoft.com/office/drawing/2014/main" id="{D88026EB-FD7D-48BD-8CE2-2524507C5E88}"/>
            </a:ext>
          </a:extLst>
        </xdr:cNvPr>
        <xdr:cNvSpPr txBox="1"/>
      </xdr:nvSpPr>
      <xdr:spPr>
        <a:xfrm>
          <a:off x="11070417" y="1746250"/>
          <a:ext cx="1103794" cy="420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AEDC276-ABAD-400B-9238-188B6DE5031D}" type="TxLink">
            <a:rPr lang="en-US" sz="2000" b="1" i="0" u="none" strike="noStrike">
              <a:solidFill>
                <a:schemeClr val="bg1"/>
              </a:solidFill>
              <a:latin typeface="Aptos Narrow"/>
            </a:rPr>
            <a:pPr/>
            <a:t>10</a:t>
          </a:fld>
          <a:endParaRPr lang="en-IN" sz="2000" b="1">
            <a:solidFill>
              <a:schemeClr val="bg1"/>
            </a:solidFill>
          </a:endParaRPr>
        </a:p>
      </xdr:txBody>
    </xdr:sp>
    <xdr:clientData/>
  </xdr:twoCellAnchor>
  <xdr:twoCellAnchor>
    <xdr:from>
      <xdr:col>1</xdr:col>
      <xdr:colOff>46942</xdr:colOff>
      <xdr:row>7</xdr:row>
      <xdr:rowOff>99858</xdr:rowOff>
    </xdr:from>
    <xdr:to>
      <xdr:col>2</xdr:col>
      <xdr:colOff>181841</xdr:colOff>
      <xdr:row>9</xdr:row>
      <xdr:rowOff>146039</xdr:rowOff>
    </xdr:to>
    <xdr:sp macro="" textlink="PIVOT!U24">
      <xdr:nvSpPr>
        <xdr:cNvPr id="24" name="TextBox 23">
          <a:extLst>
            <a:ext uri="{FF2B5EF4-FFF2-40B4-BE49-F238E27FC236}">
              <a16:creationId xmlns:a16="http://schemas.microsoft.com/office/drawing/2014/main" id="{4F034272-94F0-4CF8-9025-ED5D5FDEAA77}"/>
            </a:ext>
          </a:extLst>
        </xdr:cNvPr>
        <xdr:cNvSpPr txBox="1"/>
      </xdr:nvSpPr>
      <xdr:spPr>
        <a:xfrm>
          <a:off x="658130" y="1377796"/>
          <a:ext cx="746086" cy="4113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34142F8-8A9B-42AA-AB1D-85E4BE8BA2BD}" type="TxLink">
            <a:rPr lang="en-US" sz="1800" b="1" i="0" u="none" strike="noStrike">
              <a:solidFill>
                <a:schemeClr val="accent3">
                  <a:lumMod val="20000"/>
                  <a:lumOff val="80000"/>
                </a:schemeClr>
              </a:solidFill>
              <a:latin typeface="Aptos Narrow"/>
            </a:rPr>
            <a:pPr/>
            <a:t>4200</a:t>
          </a:fld>
          <a:endParaRPr lang="en-IN" sz="1800" b="1">
            <a:solidFill>
              <a:schemeClr val="accent3">
                <a:lumMod val="20000"/>
                <a:lumOff val="80000"/>
              </a:schemeClr>
            </a:solidFill>
          </a:endParaRPr>
        </a:p>
      </xdr:txBody>
    </xdr:sp>
    <xdr:clientData/>
  </xdr:twoCellAnchor>
  <xdr:twoCellAnchor>
    <xdr:from>
      <xdr:col>6</xdr:col>
      <xdr:colOff>577271</xdr:colOff>
      <xdr:row>7</xdr:row>
      <xdr:rowOff>59892</xdr:rowOff>
    </xdr:from>
    <xdr:to>
      <xdr:col>8</xdr:col>
      <xdr:colOff>92363</xdr:colOff>
      <xdr:row>9</xdr:row>
      <xdr:rowOff>106073</xdr:rowOff>
    </xdr:to>
    <xdr:sp macro="" textlink="PIVOT!U25">
      <xdr:nvSpPr>
        <xdr:cNvPr id="25" name="TextBox 24">
          <a:extLst>
            <a:ext uri="{FF2B5EF4-FFF2-40B4-BE49-F238E27FC236}">
              <a16:creationId xmlns:a16="http://schemas.microsoft.com/office/drawing/2014/main" id="{3904CEE5-E7FD-4214-8ACC-A7EE3CCB600B}"/>
            </a:ext>
          </a:extLst>
        </xdr:cNvPr>
        <xdr:cNvSpPr txBox="1"/>
      </xdr:nvSpPr>
      <xdr:spPr>
        <a:xfrm>
          <a:off x="4244396" y="1337830"/>
          <a:ext cx="737467" cy="4113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A114BF4-1F24-44A4-9005-C93AE9EA7065}" type="TxLink">
            <a:rPr lang="en-US" sz="1800" b="1" i="0" u="none" strike="noStrike">
              <a:solidFill>
                <a:schemeClr val="accent5">
                  <a:lumMod val="40000"/>
                  <a:lumOff val="60000"/>
                </a:schemeClr>
              </a:solidFill>
              <a:latin typeface="Aptos Narrow"/>
            </a:rPr>
            <a:pPr/>
            <a:t>3200</a:t>
          </a:fld>
          <a:endParaRPr lang="en-IN" sz="1800" b="1">
            <a:solidFill>
              <a:schemeClr val="accent5">
                <a:lumMod val="40000"/>
                <a:lumOff val="60000"/>
              </a:schemeClr>
            </a:solidFill>
          </a:endParaRPr>
        </a:p>
      </xdr:txBody>
    </xdr:sp>
    <xdr:clientData/>
  </xdr:twoCellAnchor>
  <xdr:twoCellAnchor>
    <xdr:from>
      <xdr:col>12</xdr:col>
      <xdr:colOff>452439</xdr:colOff>
      <xdr:row>7</xdr:row>
      <xdr:rowOff>59516</xdr:rowOff>
    </xdr:from>
    <xdr:to>
      <xdr:col>13</xdr:col>
      <xdr:colOff>544801</xdr:colOff>
      <xdr:row>9</xdr:row>
      <xdr:rowOff>105697</xdr:rowOff>
    </xdr:to>
    <xdr:sp macro="" textlink="PIVOT!U26">
      <xdr:nvSpPr>
        <xdr:cNvPr id="27" name="TextBox 26">
          <a:extLst>
            <a:ext uri="{FF2B5EF4-FFF2-40B4-BE49-F238E27FC236}">
              <a16:creationId xmlns:a16="http://schemas.microsoft.com/office/drawing/2014/main" id="{46D771C3-156A-47E6-B94D-24CE37739972}"/>
            </a:ext>
          </a:extLst>
        </xdr:cNvPr>
        <xdr:cNvSpPr txBox="1"/>
      </xdr:nvSpPr>
      <xdr:spPr>
        <a:xfrm>
          <a:off x="7786689" y="1337454"/>
          <a:ext cx="703550" cy="4113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DAAAFA4-EB92-4B8E-9FDA-F24215F865EB}" type="TxLink">
            <a:rPr lang="en-US" sz="1800" b="1" i="0" u="none" strike="noStrike">
              <a:solidFill>
                <a:schemeClr val="accent1">
                  <a:lumMod val="20000"/>
                  <a:lumOff val="80000"/>
                </a:schemeClr>
              </a:solidFill>
              <a:latin typeface="Aptos Narrow"/>
            </a:rPr>
            <a:pPr/>
            <a:t>1850</a:t>
          </a:fld>
          <a:endParaRPr lang="en-IN" sz="1800" b="1">
            <a:solidFill>
              <a:schemeClr val="accent1">
                <a:lumMod val="20000"/>
                <a:lumOff val="80000"/>
              </a:schemeClr>
            </a:solidFill>
          </a:endParaRPr>
        </a:p>
      </xdr:txBody>
    </xdr:sp>
    <xdr:clientData/>
  </xdr:twoCellAnchor>
  <xdr:twoCellAnchor>
    <xdr:from>
      <xdr:col>18</xdr:col>
      <xdr:colOff>445231</xdr:colOff>
      <xdr:row>7</xdr:row>
      <xdr:rowOff>25920</xdr:rowOff>
    </xdr:from>
    <xdr:to>
      <xdr:col>19</xdr:col>
      <xdr:colOff>537826</xdr:colOff>
      <xdr:row>9</xdr:row>
      <xdr:rowOff>69937</xdr:rowOff>
    </xdr:to>
    <xdr:sp macro="" textlink="PIVOT!U27">
      <xdr:nvSpPr>
        <xdr:cNvPr id="28" name="TextBox 27">
          <a:extLst>
            <a:ext uri="{FF2B5EF4-FFF2-40B4-BE49-F238E27FC236}">
              <a16:creationId xmlns:a16="http://schemas.microsoft.com/office/drawing/2014/main" id="{F58141EB-E3D4-4207-A2A2-92A9727E9D32}"/>
            </a:ext>
          </a:extLst>
        </xdr:cNvPr>
        <xdr:cNvSpPr txBox="1"/>
      </xdr:nvSpPr>
      <xdr:spPr>
        <a:xfrm>
          <a:off x="11446606" y="1303858"/>
          <a:ext cx="703783" cy="4091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10B5785-AC47-47FE-894C-D5C695364AF7}" type="TxLink">
            <a:rPr lang="en-US" sz="1800" b="1" i="0" u="none" strike="noStrike">
              <a:solidFill>
                <a:srgbClr val="0099FF"/>
              </a:solidFill>
              <a:latin typeface="Aptos Narrow"/>
            </a:rPr>
            <a:pPr/>
            <a:t>4000</a:t>
          </a:fld>
          <a:endParaRPr lang="en-IN" sz="1800" b="1">
            <a:solidFill>
              <a:srgbClr val="0099FF"/>
            </a:solidFill>
          </a:endParaRPr>
        </a:p>
      </xdr:txBody>
    </xdr:sp>
    <xdr:clientData/>
  </xdr:twoCellAnchor>
  <xdr:twoCellAnchor>
    <xdr:from>
      <xdr:col>2</xdr:col>
      <xdr:colOff>31067</xdr:colOff>
      <xdr:row>7</xdr:row>
      <xdr:rowOff>107555</xdr:rowOff>
    </xdr:from>
    <xdr:to>
      <xdr:col>3</xdr:col>
      <xdr:colOff>296814</xdr:colOff>
      <xdr:row>9</xdr:row>
      <xdr:rowOff>153736</xdr:rowOff>
    </xdr:to>
    <xdr:sp macro="" textlink="PIVOT!U24">
      <xdr:nvSpPr>
        <xdr:cNvPr id="29" name="TextBox 28">
          <a:extLst>
            <a:ext uri="{FF2B5EF4-FFF2-40B4-BE49-F238E27FC236}">
              <a16:creationId xmlns:a16="http://schemas.microsoft.com/office/drawing/2014/main" id="{822DB4DE-FF63-4BE0-95DA-F6ECB39B4293}"/>
            </a:ext>
          </a:extLst>
        </xdr:cNvPr>
        <xdr:cNvSpPr txBox="1"/>
      </xdr:nvSpPr>
      <xdr:spPr>
        <a:xfrm>
          <a:off x="1253442" y="1385493"/>
          <a:ext cx="876935" cy="4113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0">
              <a:solidFill>
                <a:schemeClr val="accent6">
                  <a:lumMod val="20000"/>
                  <a:lumOff val="80000"/>
                </a:schemeClr>
              </a:solidFill>
            </a:rPr>
            <a:t>PLAN</a:t>
          </a:r>
        </a:p>
      </xdr:txBody>
    </xdr:sp>
    <xdr:clientData/>
  </xdr:twoCellAnchor>
  <xdr:twoCellAnchor>
    <xdr:from>
      <xdr:col>7</xdr:col>
      <xdr:colOff>545761</xdr:colOff>
      <xdr:row>7</xdr:row>
      <xdr:rowOff>51714</xdr:rowOff>
    </xdr:from>
    <xdr:to>
      <xdr:col>9</xdr:col>
      <xdr:colOff>222489</xdr:colOff>
      <xdr:row>9</xdr:row>
      <xdr:rowOff>97895</xdr:rowOff>
    </xdr:to>
    <xdr:sp macro="" textlink="PIVOT!U24">
      <xdr:nvSpPr>
        <xdr:cNvPr id="30" name="TextBox 29">
          <a:extLst>
            <a:ext uri="{FF2B5EF4-FFF2-40B4-BE49-F238E27FC236}">
              <a16:creationId xmlns:a16="http://schemas.microsoft.com/office/drawing/2014/main" id="{D8856CDD-AD7E-4838-A14B-A2A6C228D70F}"/>
            </a:ext>
          </a:extLst>
        </xdr:cNvPr>
        <xdr:cNvSpPr txBox="1"/>
      </xdr:nvSpPr>
      <xdr:spPr>
        <a:xfrm>
          <a:off x="4824074" y="1329652"/>
          <a:ext cx="899103" cy="4113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0">
              <a:solidFill>
                <a:schemeClr val="accent5">
                  <a:lumMod val="40000"/>
                  <a:lumOff val="60000"/>
                </a:schemeClr>
              </a:solidFill>
            </a:rPr>
            <a:t>PLAN</a:t>
          </a:r>
        </a:p>
      </xdr:txBody>
    </xdr:sp>
    <xdr:clientData/>
  </xdr:twoCellAnchor>
  <xdr:twoCellAnchor>
    <xdr:from>
      <xdr:col>13</xdr:col>
      <xdr:colOff>437767</xdr:colOff>
      <xdr:row>7</xdr:row>
      <xdr:rowOff>35464</xdr:rowOff>
    </xdr:from>
    <xdr:to>
      <xdr:col>15</xdr:col>
      <xdr:colOff>29827</xdr:colOff>
      <xdr:row>9</xdr:row>
      <xdr:rowOff>81645</xdr:rowOff>
    </xdr:to>
    <xdr:sp macro="" textlink="PIVOT!U26">
      <xdr:nvSpPr>
        <xdr:cNvPr id="31" name="TextBox 30">
          <a:extLst>
            <a:ext uri="{FF2B5EF4-FFF2-40B4-BE49-F238E27FC236}">
              <a16:creationId xmlns:a16="http://schemas.microsoft.com/office/drawing/2014/main" id="{8DFCC3C8-8305-42BC-AA3F-4D93A477A3F0}"/>
            </a:ext>
          </a:extLst>
        </xdr:cNvPr>
        <xdr:cNvSpPr txBox="1"/>
      </xdr:nvSpPr>
      <xdr:spPr>
        <a:xfrm>
          <a:off x="8383205" y="1313402"/>
          <a:ext cx="814435" cy="4113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0">
              <a:solidFill>
                <a:schemeClr val="accent1">
                  <a:lumMod val="20000"/>
                  <a:lumOff val="80000"/>
                </a:schemeClr>
              </a:solidFill>
            </a:rPr>
            <a:t>PLAN</a:t>
          </a:r>
        </a:p>
      </xdr:txBody>
    </xdr:sp>
    <xdr:clientData/>
  </xdr:twoCellAnchor>
  <xdr:twoCellAnchor editAs="oneCell">
    <xdr:from>
      <xdr:col>19</xdr:col>
      <xdr:colOff>292484</xdr:colOff>
      <xdr:row>8</xdr:row>
      <xdr:rowOff>84128</xdr:rowOff>
    </xdr:from>
    <xdr:to>
      <xdr:col>21</xdr:col>
      <xdr:colOff>92362</xdr:colOff>
      <xdr:row>11</xdr:row>
      <xdr:rowOff>23765</xdr:rowOff>
    </xdr:to>
    <xdr:pic>
      <xdr:nvPicPr>
        <xdr:cNvPr id="32" name="Picture 31" hidden="1">
          <a:extLst>
            <a:ext uri="{FF2B5EF4-FFF2-40B4-BE49-F238E27FC236}">
              <a16:creationId xmlns:a16="http://schemas.microsoft.com/office/drawing/2014/main" id="{57E5E8BA-7930-93D3-CC8C-E574A647D8D9}"/>
            </a:ext>
          </a:extLst>
        </xdr:cNvPr>
        <xdr:cNvPicPr>
          <a:picLocks noChangeAspect="1"/>
        </xdr:cNvPicPr>
      </xdr:nvPicPr>
      <xdr:blipFill>
        <a:blip xmlns:r="http://schemas.openxmlformats.org/officeDocument/2006/relationships" r:embed="rId6"/>
        <a:stretch>
          <a:fillRect/>
        </a:stretch>
      </xdr:blipFill>
      <xdr:spPr>
        <a:xfrm>
          <a:off x="11845636" y="1561946"/>
          <a:ext cx="1015999" cy="493819"/>
        </a:xfrm>
        <a:prstGeom prst="rect">
          <a:avLst/>
        </a:prstGeom>
      </xdr:spPr>
    </xdr:pic>
    <xdr:clientData/>
  </xdr:twoCellAnchor>
  <xdr:twoCellAnchor>
    <xdr:from>
      <xdr:col>19</xdr:col>
      <xdr:colOff>435849</xdr:colOff>
      <xdr:row>7</xdr:row>
      <xdr:rowOff>65846</xdr:rowOff>
    </xdr:from>
    <xdr:to>
      <xdr:col>20</xdr:col>
      <xdr:colOff>531572</xdr:colOff>
      <xdr:row>9</xdr:row>
      <xdr:rowOff>109863</xdr:rowOff>
    </xdr:to>
    <xdr:sp macro="" textlink="PIVOT!U27">
      <xdr:nvSpPr>
        <xdr:cNvPr id="33" name="TextBox 32">
          <a:extLst>
            <a:ext uri="{FF2B5EF4-FFF2-40B4-BE49-F238E27FC236}">
              <a16:creationId xmlns:a16="http://schemas.microsoft.com/office/drawing/2014/main" id="{05AC30AB-D358-4377-A2C9-7D0C2D86D912}"/>
            </a:ext>
          </a:extLst>
        </xdr:cNvPr>
        <xdr:cNvSpPr txBox="1"/>
      </xdr:nvSpPr>
      <xdr:spPr>
        <a:xfrm>
          <a:off x="12048412" y="1343784"/>
          <a:ext cx="706910" cy="4091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0">
              <a:solidFill>
                <a:srgbClr val="0099FF"/>
              </a:solidFill>
            </a:rPr>
            <a:t>PLAN</a:t>
          </a:r>
        </a:p>
      </xdr:txBody>
    </xdr:sp>
    <xdr:clientData/>
  </xdr:twoCellAnchor>
  <xdr:twoCellAnchor>
    <xdr:from>
      <xdr:col>2</xdr:col>
      <xdr:colOff>184729</xdr:colOff>
      <xdr:row>4</xdr:row>
      <xdr:rowOff>63501</xdr:rowOff>
    </xdr:from>
    <xdr:to>
      <xdr:col>5</xdr:col>
      <xdr:colOff>531812</xdr:colOff>
      <xdr:row>12</xdr:row>
      <xdr:rowOff>1</xdr:rowOff>
    </xdr:to>
    <xdr:graphicFrame macro="">
      <xdr:nvGraphicFramePr>
        <xdr:cNvPr id="37" name="Chart 36">
          <a:extLst>
            <a:ext uri="{FF2B5EF4-FFF2-40B4-BE49-F238E27FC236}">
              <a16:creationId xmlns:a16="http://schemas.microsoft.com/office/drawing/2014/main" id="{30FE2026-9ECC-403C-ABCF-D62E1DAE25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356467</xdr:colOff>
      <xdr:row>7</xdr:row>
      <xdr:rowOff>80722</xdr:rowOff>
    </xdr:from>
    <xdr:to>
      <xdr:col>4</xdr:col>
      <xdr:colOff>387255</xdr:colOff>
      <xdr:row>10</xdr:row>
      <xdr:rowOff>12989</xdr:rowOff>
    </xdr:to>
    <xdr:sp macro="" textlink="PIVOT!T30">
      <xdr:nvSpPr>
        <xdr:cNvPr id="38" name="TextBox 37">
          <a:extLst>
            <a:ext uri="{FF2B5EF4-FFF2-40B4-BE49-F238E27FC236}">
              <a16:creationId xmlns:a16="http://schemas.microsoft.com/office/drawing/2014/main" id="{6BF9DE50-6A06-4BAC-A3FC-548DA77A1AF5}"/>
            </a:ext>
          </a:extLst>
        </xdr:cNvPr>
        <xdr:cNvSpPr txBox="1"/>
      </xdr:nvSpPr>
      <xdr:spPr>
        <a:xfrm>
          <a:off x="2190030" y="1358660"/>
          <a:ext cx="641975" cy="4799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1D04553-C419-4F67-B8CF-F39019DE8B47}" type="TxLink">
            <a:rPr lang="en-US" sz="2000" b="1" i="0" u="none" strike="noStrike">
              <a:solidFill>
                <a:schemeClr val="bg1"/>
              </a:solidFill>
              <a:latin typeface="Aptos Narrow"/>
            </a:rPr>
            <a:pPr/>
            <a:t>91%</a:t>
          </a:fld>
          <a:endParaRPr lang="en-US" sz="2000" b="1" i="0" u="none" strike="noStrike">
            <a:solidFill>
              <a:schemeClr val="bg1"/>
            </a:solidFill>
            <a:latin typeface="Aptos Narrow"/>
          </a:endParaRPr>
        </a:p>
      </xdr:txBody>
    </xdr:sp>
    <xdr:clientData/>
  </xdr:twoCellAnchor>
  <xdr:twoCellAnchor>
    <xdr:from>
      <xdr:col>8</xdr:col>
      <xdr:colOff>174625</xdr:colOff>
      <xdr:row>4</xdr:row>
      <xdr:rowOff>71438</xdr:rowOff>
    </xdr:from>
    <xdr:to>
      <xdr:col>11</xdr:col>
      <xdr:colOff>293688</xdr:colOff>
      <xdr:row>12</xdr:row>
      <xdr:rowOff>55563</xdr:rowOff>
    </xdr:to>
    <xdr:graphicFrame macro="">
      <xdr:nvGraphicFramePr>
        <xdr:cNvPr id="46" name="Chart 45">
          <a:extLst>
            <a:ext uri="{FF2B5EF4-FFF2-40B4-BE49-F238E27FC236}">
              <a16:creationId xmlns:a16="http://schemas.microsoft.com/office/drawing/2014/main" id="{FE2C4F86-E287-437C-9635-9DF17DFCA7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484187</xdr:colOff>
      <xdr:row>4</xdr:row>
      <xdr:rowOff>79375</xdr:rowOff>
    </xdr:from>
    <xdr:to>
      <xdr:col>17</xdr:col>
      <xdr:colOff>198437</xdr:colOff>
      <xdr:row>12</xdr:row>
      <xdr:rowOff>23813</xdr:rowOff>
    </xdr:to>
    <xdr:graphicFrame macro="">
      <xdr:nvGraphicFramePr>
        <xdr:cNvPr id="47" name="Chart 46">
          <a:extLst>
            <a:ext uri="{FF2B5EF4-FFF2-40B4-BE49-F238E27FC236}">
              <a16:creationId xmlns:a16="http://schemas.microsoft.com/office/drawing/2014/main" id="{F46FC77E-7CE2-45FE-8D7F-785DE669F8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71439</xdr:colOff>
      <xdr:row>4</xdr:row>
      <xdr:rowOff>119063</xdr:rowOff>
    </xdr:from>
    <xdr:to>
      <xdr:col>23</xdr:col>
      <xdr:colOff>71438</xdr:colOff>
      <xdr:row>12</xdr:row>
      <xdr:rowOff>47625</xdr:rowOff>
    </xdr:to>
    <xdr:graphicFrame macro="">
      <xdr:nvGraphicFramePr>
        <xdr:cNvPr id="49" name="Chart 48">
          <a:extLst>
            <a:ext uri="{FF2B5EF4-FFF2-40B4-BE49-F238E27FC236}">
              <a16:creationId xmlns:a16="http://schemas.microsoft.com/office/drawing/2014/main" id="{5F26EF26-3271-4F28-8764-EA5C67A786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95250</xdr:colOff>
      <xdr:row>13</xdr:row>
      <xdr:rowOff>31750</xdr:rowOff>
    </xdr:from>
    <xdr:to>
      <xdr:col>10</xdr:col>
      <xdr:colOff>476250</xdr:colOff>
      <xdr:row>24</xdr:row>
      <xdr:rowOff>134938</xdr:rowOff>
    </xdr:to>
    <xdr:sp macro="" textlink="">
      <xdr:nvSpPr>
        <xdr:cNvPr id="53" name="Rectangle: Rounded Corners 52">
          <a:extLst>
            <a:ext uri="{FF2B5EF4-FFF2-40B4-BE49-F238E27FC236}">
              <a16:creationId xmlns:a16="http://schemas.microsoft.com/office/drawing/2014/main" id="{E50AFD79-789B-D702-1ED9-70B4B0DF5C9F}"/>
            </a:ext>
          </a:extLst>
        </xdr:cNvPr>
        <xdr:cNvSpPr/>
      </xdr:nvSpPr>
      <xdr:spPr>
        <a:xfrm>
          <a:off x="95250" y="2405063"/>
          <a:ext cx="6492875" cy="2111375"/>
        </a:xfrm>
        <a:prstGeom prst="roundRect">
          <a:avLst/>
        </a:prstGeom>
        <a:solidFill>
          <a:schemeClr val="tx1"/>
        </a:solidFill>
        <a:ln w="9525">
          <a:gradFill>
            <a:gsLst>
              <a:gs pos="74000">
                <a:schemeClr val="accent1">
                  <a:lumMod val="60000"/>
                  <a:lumOff val="40000"/>
                </a:schemeClr>
              </a:gs>
              <a:gs pos="0">
                <a:schemeClr val="accent1">
                  <a:lumMod val="45000"/>
                  <a:lumOff val="55000"/>
                </a:schemeClr>
              </a:gs>
              <a:gs pos="43000">
                <a:schemeClr val="accent1">
                  <a:alpha val="80000"/>
                  <a:lumMod val="100000"/>
                </a:schemeClr>
              </a:gs>
            </a:gsLst>
            <a:lin ang="5400000" scaled="1"/>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166688</xdr:colOff>
      <xdr:row>13</xdr:row>
      <xdr:rowOff>166686</xdr:rowOff>
    </xdr:from>
    <xdr:to>
      <xdr:col>10</xdr:col>
      <xdr:colOff>404812</xdr:colOff>
      <xdr:row>24</xdr:row>
      <xdr:rowOff>47625</xdr:rowOff>
    </xdr:to>
    <xdr:graphicFrame macro="">
      <xdr:nvGraphicFramePr>
        <xdr:cNvPr id="51" name="Chart 50">
          <a:extLst>
            <a:ext uri="{FF2B5EF4-FFF2-40B4-BE49-F238E27FC236}">
              <a16:creationId xmlns:a16="http://schemas.microsoft.com/office/drawing/2014/main" id="{CBF49B86-C289-4A8D-A093-DDA509FCDA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0</xdr:col>
      <xdr:colOff>500380</xdr:colOff>
      <xdr:row>21</xdr:row>
      <xdr:rowOff>174626</xdr:rowOff>
    </xdr:from>
    <xdr:to>
      <xdr:col>10</xdr:col>
      <xdr:colOff>325438</xdr:colOff>
      <xdr:row>24</xdr:row>
      <xdr:rowOff>39689</xdr:rowOff>
    </xdr:to>
    <mc:AlternateContent xmlns:mc="http://schemas.openxmlformats.org/markup-compatibility/2006" xmlns:a14="http://schemas.microsoft.com/office/drawing/2010/main">
      <mc:Choice Requires="a14">
        <xdr:graphicFrame macro="">
          <xdr:nvGraphicFramePr>
            <xdr:cNvPr id="50" name="Name Month 1">
              <a:extLst>
                <a:ext uri="{FF2B5EF4-FFF2-40B4-BE49-F238E27FC236}">
                  <a16:creationId xmlns:a16="http://schemas.microsoft.com/office/drawing/2014/main" id="{8A5CA5CD-B5F2-4306-968D-129CE39983C6}"/>
                </a:ext>
              </a:extLst>
            </xdr:cNvPr>
            <xdr:cNvGraphicFramePr/>
          </xdr:nvGraphicFramePr>
          <xdr:xfrm>
            <a:off x="0" y="0"/>
            <a:ext cx="0" cy="0"/>
          </xdr:xfrm>
          <a:graphic>
            <a:graphicData uri="http://schemas.microsoft.com/office/drawing/2010/slicer">
              <sle:slicer xmlns:sle="http://schemas.microsoft.com/office/drawing/2010/slicer" name="Name Month 1"/>
            </a:graphicData>
          </a:graphic>
        </xdr:graphicFrame>
      </mc:Choice>
      <mc:Fallback xmlns="">
        <xdr:sp macro="" textlink="">
          <xdr:nvSpPr>
            <xdr:cNvPr id="0" name=""/>
            <xdr:cNvSpPr>
              <a:spLocks noTextEdit="1"/>
            </xdr:cNvSpPr>
          </xdr:nvSpPr>
          <xdr:spPr>
            <a:xfrm>
              <a:off x="500380" y="4008439"/>
              <a:ext cx="5936933" cy="4127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220980</xdr:colOff>
      <xdr:row>15</xdr:row>
      <xdr:rowOff>91440</xdr:rowOff>
    </xdr:from>
    <xdr:to>
      <xdr:col>9</xdr:col>
      <xdr:colOff>120920</xdr:colOff>
      <xdr:row>17</xdr:row>
      <xdr:rowOff>60653</xdr:rowOff>
    </xdr:to>
    <xdr:sp macro="" textlink="">
      <xdr:nvSpPr>
        <xdr:cNvPr id="55" name="TextBox 54">
          <a:extLst>
            <a:ext uri="{FF2B5EF4-FFF2-40B4-BE49-F238E27FC236}">
              <a16:creationId xmlns:a16="http://schemas.microsoft.com/office/drawing/2014/main" id="{8E6EFE19-2441-4D30-988B-6889917B7B9D}"/>
            </a:ext>
          </a:extLst>
        </xdr:cNvPr>
        <xdr:cNvSpPr txBox="1"/>
      </xdr:nvSpPr>
      <xdr:spPr>
        <a:xfrm>
          <a:off x="4488180" y="2834640"/>
          <a:ext cx="1119140" cy="3349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t> </a:t>
          </a:r>
        </a:p>
      </xdr:txBody>
    </xdr:sp>
    <xdr:clientData/>
  </xdr:twoCellAnchor>
  <xdr:twoCellAnchor>
    <xdr:from>
      <xdr:col>7</xdr:col>
      <xdr:colOff>396557</xdr:colOff>
      <xdr:row>13</xdr:row>
      <xdr:rowOff>171449</xdr:rowOff>
    </xdr:from>
    <xdr:to>
      <xdr:col>8</xdr:col>
      <xdr:colOff>428626</xdr:colOff>
      <xdr:row>15</xdr:row>
      <xdr:rowOff>87313</xdr:rowOff>
    </xdr:to>
    <xdr:sp macro="" textlink="PIVOT!$K$19">
      <xdr:nvSpPr>
        <xdr:cNvPr id="12" name="TextBox 11">
          <a:extLst>
            <a:ext uri="{FF2B5EF4-FFF2-40B4-BE49-F238E27FC236}">
              <a16:creationId xmlns:a16="http://schemas.microsoft.com/office/drawing/2014/main" id="{D3B71A47-C690-4997-B433-2E549742338E}"/>
            </a:ext>
          </a:extLst>
        </xdr:cNvPr>
        <xdr:cNvSpPr txBox="1"/>
      </xdr:nvSpPr>
      <xdr:spPr>
        <a:xfrm>
          <a:off x="4674870" y="2544762"/>
          <a:ext cx="643256" cy="280989"/>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5A92042-67A5-46C0-B931-508F4129DC7B}" type="TxLink">
            <a:rPr lang="en-US" sz="1200" b="1" i="0" u="none" strike="noStrike">
              <a:solidFill>
                <a:schemeClr val="bg1"/>
              </a:solidFill>
              <a:latin typeface="Aptos Narrow"/>
            </a:rPr>
            <a:pPr/>
            <a:t>300</a:t>
          </a:fld>
          <a:endParaRPr lang="en-US" sz="1200" b="1">
            <a:solidFill>
              <a:schemeClr val="bg1"/>
            </a:solidFill>
          </a:endParaRPr>
        </a:p>
      </xdr:txBody>
    </xdr:sp>
    <xdr:clientData/>
  </xdr:twoCellAnchor>
  <xdr:twoCellAnchor>
    <xdr:from>
      <xdr:col>12</xdr:col>
      <xdr:colOff>45720</xdr:colOff>
      <xdr:row>18</xdr:row>
      <xdr:rowOff>0</xdr:rowOff>
    </xdr:from>
    <xdr:to>
      <xdr:col>13</xdr:col>
      <xdr:colOff>121920</xdr:colOff>
      <xdr:row>21</xdr:row>
      <xdr:rowOff>0</xdr:rowOff>
    </xdr:to>
    <xdr:sp macro="" textlink="">
      <xdr:nvSpPr>
        <xdr:cNvPr id="2049" name="Text Box 1" hidden="1">
          <a:extLst>
            <a:ext uri="{FF2B5EF4-FFF2-40B4-BE49-F238E27FC236}">
              <a16:creationId xmlns:a16="http://schemas.microsoft.com/office/drawing/2014/main" id="{2A724095-9112-3528-63C2-362A485F36E6}"/>
            </a:ext>
          </a:extLst>
        </xdr:cNvPr>
        <xdr:cNvSpPr txBox="1">
          <a:spLocks noChangeArrowheads="1"/>
        </xdr:cNvSpPr>
      </xdr:nvSpPr>
      <xdr:spPr bwMode="auto">
        <a:xfrm>
          <a:off x="7360920" y="3291840"/>
          <a:ext cx="685800" cy="54864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endParaRPr lang="en-IN" sz="1100" b="0" i="0" u="none" strike="noStrike" baseline="0">
            <a:solidFill>
              <a:srgbClr val="000000"/>
            </a:solidFill>
            <a:latin typeface="Aptos Narrow"/>
          </a:endParaRPr>
        </a:p>
      </xdr:txBody>
    </xdr:sp>
    <xdr:clientData/>
  </xdr:twoCellAnchor>
  <xdr:twoCellAnchor>
    <xdr:from>
      <xdr:col>10</xdr:col>
      <xdr:colOff>540068</xdr:colOff>
      <xdr:row>13</xdr:row>
      <xdr:rowOff>0</xdr:rowOff>
    </xdr:from>
    <xdr:to>
      <xdr:col>17</xdr:col>
      <xdr:colOff>95250</xdr:colOff>
      <xdr:row>25</xdr:row>
      <xdr:rowOff>0</xdr:rowOff>
    </xdr:to>
    <xdr:sp macro="" textlink="">
      <xdr:nvSpPr>
        <xdr:cNvPr id="34" name="Rectangle: Rounded Corners 33">
          <a:extLst>
            <a:ext uri="{FF2B5EF4-FFF2-40B4-BE49-F238E27FC236}">
              <a16:creationId xmlns:a16="http://schemas.microsoft.com/office/drawing/2014/main" id="{6677386F-4913-4202-A8C2-779077410BC3}"/>
            </a:ext>
          </a:extLst>
        </xdr:cNvPr>
        <xdr:cNvSpPr/>
      </xdr:nvSpPr>
      <xdr:spPr>
        <a:xfrm>
          <a:off x="6651943" y="2373313"/>
          <a:ext cx="3833495" cy="2190750"/>
        </a:xfrm>
        <a:prstGeom prst="roundRect">
          <a:avLst/>
        </a:prstGeom>
        <a:solidFill>
          <a:schemeClr val="tx1"/>
        </a:solidFill>
        <a:ln w="9525">
          <a:gradFill>
            <a:gsLst>
              <a:gs pos="74000">
                <a:schemeClr val="accent1">
                  <a:lumMod val="60000"/>
                  <a:lumOff val="40000"/>
                </a:schemeClr>
              </a:gs>
              <a:gs pos="0">
                <a:schemeClr val="accent1">
                  <a:lumMod val="45000"/>
                  <a:lumOff val="55000"/>
                </a:schemeClr>
              </a:gs>
              <a:gs pos="43000">
                <a:schemeClr val="accent1">
                  <a:alpha val="80000"/>
                  <a:lumMod val="100000"/>
                </a:schemeClr>
              </a:gs>
            </a:gsLst>
            <a:lin ang="5400000" scaled="1"/>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121920</xdr:colOff>
      <xdr:row>13</xdr:row>
      <xdr:rowOff>79375</xdr:rowOff>
    </xdr:from>
    <xdr:to>
      <xdr:col>16</xdr:col>
      <xdr:colOff>425450</xdr:colOff>
      <xdr:row>24</xdr:row>
      <xdr:rowOff>23813</xdr:rowOff>
    </xdr:to>
    <xdr:graphicFrame macro="">
      <xdr:nvGraphicFramePr>
        <xdr:cNvPr id="26" name="Chart 25">
          <a:extLst>
            <a:ext uri="{FF2B5EF4-FFF2-40B4-BE49-F238E27FC236}">
              <a16:creationId xmlns:a16="http://schemas.microsoft.com/office/drawing/2014/main" id="{1C27BC8B-3C6A-449C-A3E7-A3D4C30CAD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17</xdr:col>
      <xdr:colOff>218122</xdr:colOff>
      <xdr:row>12</xdr:row>
      <xdr:rowOff>127000</xdr:rowOff>
    </xdr:from>
    <xdr:to>
      <xdr:col>23</xdr:col>
      <xdr:colOff>167322</xdr:colOff>
      <xdr:row>24</xdr:row>
      <xdr:rowOff>150813</xdr:rowOff>
    </xdr:to>
    <xdr:sp macro="" textlink="">
      <xdr:nvSpPr>
        <xdr:cNvPr id="35" name="Rectangle: Rounded Corners 34">
          <a:extLst>
            <a:ext uri="{FF2B5EF4-FFF2-40B4-BE49-F238E27FC236}">
              <a16:creationId xmlns:a16="http://schemas.microsoft.com/office/drawing/2014/main" id="{A52663AB-61C1-4F0F-8D32-041C0079746A}"/>
            </a:ext>
          </a:extLst>
        </xdr:cNvPr>
        <xdr:cNvSpPr/>
      </xdr:nvSpPr>
      <xdr:spPr>
        <a:xfrm>
          <a:off x="10608310" y="2317750"/>
          <a:ext cx="3616325" cy="2214563"/>
        </a:xfrm>
        <a:prstGeom prst="roundRect">
          <a:avLst/>
        </a:prstGeom>
        <a:solidFill>
          <a:schemeClr val="tx1"/>
        </a:solidFill>
        <a:ln w="9525">
          <a:gradFill>
            <a:gsLst>
              <a:gs pos="74000">
                <a:schemeClr val="accent1">
                  <a:lumMod val="60000"/>
                  <a:lumOff val="40000"/>
                </a:schemeClr>
              </a:gs>
              <a:gs pos="0">
                <a:schemeClr val="accent1">
                  <a:lumMod val="45000"/>
                  <a:lumOff val="55000"/>
                </a:schemeClr>
              </a:gs>
              <a:gs pos="43000">
                <a:schemeClr val="accent1">
                  <a:alpha val="80000"/>
                  <a:lumMod val="100000"/>
                </a:schemeClr>
              </a:gs>
            </a:gsLst>
            <a:lin ang="5400000" scaled="1"/>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263207</xdr:colOff>
      <xdr:row>12</xdr:row>
      <xdr:rowOff>111125</xdr:rowOff>
    </xdr:from>
    <xdr:to>
      <xdr:col>23</xdr:col>
      <xdr:colOff>70167</xdr:colOff>
      <xdr:row>23</xdr:row>
      <xdr:rowOff>48259</xdr:rowOff>
    </xdr:to>
    <xdr:graphicFrame macro="">
      <xdr:nvGraphicFramePr>
        <xdr:cNvPr id="36" name="Chart 35">
          <a:extLst>
            <a:ext uri="{FF2B5EF4-FFF2-40B4-BE49-F238E27FC236}">
              <a16:creationId xmlns:a16="http://schemas.microsoft.com/office/drawing/2014/main" id="{8F3600D1-A65E-4335-BFA6-98DAE72EBC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17</xdr:col>
      <xdr:colOff>401955</xdr:colOff>
      <xdr:row>21</xdr:row>
      <xdr:rowOff>15875</xdr:rowOff>
    </xdr:from>
    <xdr:to>
      <xdr:col>22</xdr:col>
      <xdr:colOff>503554</xdr:colOff>
      <xdr:row>24</xdr:row>
      <xdr:rowOff>23813</xdr:rowOff>
    </xdr:to>
    <mc:AlternateContent xmlns:mc="http://schemas.openxmlformats.org/markup-compatibility/2006" xmlns:a14="http://schemas.microsoft.com/office/drawing/2010/main">
      <mc:Choice Requires="a14">
        <xdr:graphicFrame macro="">
          <xdr:nvGraphicFramePr>
            <xdr:cNvPr id="39" name="Year 1">
              <a:extLst>
                <a:ext uri="{FF2B5EF4-FFF2-40B4-BE49-F238E27FC236}">
                  <a16:creationId xmlns:a16="http://schemas.microsoft.com/office/drawing/2014/main" id="{DD423DCE-9DF1-4D4D-BEC4-46AC8BB78539}"/>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0792143" y="3849688"/>
              <a:ext cx="3157536" cy="5556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111125</xdr:colOff>
      <xdr:row>25</xdr:row>
      <xdr:rowOff>31749</xdr:rowOff>
    </xdr:from>
    <xdr:to>
      <xdr:col>6</xdr:col>
      <xdr:colOff>247135</xdr:colOff>
      <xdr:row>38</xdr:row>
      <xdr:rowOff>41189</xdr:rowOff>
    </xdr:to>
    <xdr:sp macro="" textlink="">
      <xdr:nvSpPr>
        <xdr:cNvPr id="43" name="Rectangle: Rounded Corners 42">
          <a:extLst>
            <a:ext uri="{FF2B5EF4-FFF2-40B4-BE49-F238E27FC236}">
              <a16:creationId xmlns:a16="http://schemas.microsoft.com/office/drawing/2014/main" id="{D93C0945-BDF7-4CBD-8743-AD74CCA51348}"/>
            </a:ext>
          </a:extLst>
        </xdr:cNvPr>
        <xdr:cNvSpPr/>
      </xdr:nvSpPr>
      <xdr:spPr>
        <a:xfrm>
          <a:off x="111125" y="4665533"/>
          <a:ext cx="3843037" cy="2419007"/>
        </a:xfrm>
        <a:prstGeom prst="roundRect">
          <a:avLst/>
        </a:prstGeom>
        <a:solidFill>
          <a:schemeClr val="tx1"/>
        </a:solidFill>
        <a:ln w="9525">
          <a:gradFill>
            <a:gsLst>
              <a:gs pos="74000">
                <a:schemeClr val="accent1">
                  <a:lumMod val="60000"/>
                  <a:lumOff val="40000"/>
                </a:schemeClr>
              </a:gs>
              <a:gs pos="0">
                <a:schemeClr val="accent1">
                  <a:lumMod val="45000"/>
                  <a:lumOff val="55000"/>
                </a:schemeClr>
              </a:gs>
              <a:gs pos="43000">
                <a:schemeClr val="accent1">
                  <a:alpha val="80000"/>
                  <a:lumMod val="100000"/>
                </a:schemeClr>
              </a:gs>
            </a:gsLst>
            <a:lin ang="5400000" scaled="1"/>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317499</xdr:colOff>
      <xdr:row>25</xdr:row>
      <xdr:rowOff>150812</xdr:rowOff>
    </xdr:from>
    <xdr:to>
      <xdr:col>4</xdr:col>
      <xdr:colOff>579437</xdr:colOff>
      <xdr:row>36</xdr:row>
      <xdr:rowOff>63500</xdr:rowOff>
    </xdr:to>
    <xdr:graphicFrame macro="">
      <xdr:nvGraphicFramePr>
        <xdr:cNvPr id="41" name="Chart 40">
          <a:extLst>
            <a:ext uri="{FF2B5EF4-FFF2-40B4-BE49-F238E27FC236}">
              <a16:creationId xmlns:a16="http://schemas.microsoft.com/office/drawing/2014/main" id="{30CBAAE9-63BF-425B-B5C5-C7E8067D21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4</xdr:col>
      <xdr:colOff>515938</xdr:colOff>
      <xdr:row>26</xdr:row>
      <xdr:rowOff>0</xdr:rowOff>
    </xdr:from>
    <xdr:to>
      <xdr:col>6</xdr:col>
      <xdr:colOff>171266</xdr:colOff>
      <xdr:row>36</xdr:row>
      <xdr:rowOff>42040</xdr:rowOff>
    </xdr:to>
    <mc:AlternateContent xmlns:mc="http://schemas.openxmlformats.org/markup-compatibility/2006" xmlns:a14="http://schemas.microsoft.com/office/drawing/2010/main">
      <mc:Choice Requires="a14">
        <xdr:graphicFrame macro="">
          <xdr:nvGraphicFramePr>
            <xdr:cNvPr id="42" name="Business Units 1">
              <a:extLst>
                <a:ext uri="{FF2B5EF4-FFF2-40B4-BE49-F238E27FC236}">
                  <a16:creationId xmlns:a16="http://schemas.microsoft.com/office/drawing/2014/main" id="{20C8114A-E396-45E3-B96A-42756C8FA042}"/>
                </a:ext>
              </a:extLst>
            </xdr:cNvPr>
            <xdr:cNvGraphicFramePr/>
          </xdr:nvGraphicFramePr>
          <xdr:xfrm>
            <a:off x="0" y="0"/>
            <a:ext cx="0" cy="0"/>
          </xdr:xfrm>
          <a:graphic>
            <a:graphicData uri="http://schemas.microsoft.com/office/drawing/2010/slicer">
              <sle:slicer xmlns:sle="http://schemas.microsoft.com/office/drawing/2010/slicer" name="Business Units 1"/>
            </a:graphicData>
          </a:graphic>
        </xdr:graphicFrame>
      </mc:Choice>
      <mc:Fallback xmlns="">
        <xdr:sp macro="" textlink="">
          <xdr:nvSpPr>
            <xdr:cNvPr id="0" name=""/>
            <xdr:cNvSpPr>
              <a:spLocks noTextEdit="1"/>
            </xdr:cNvSpPr>
          </xdr:nvSpPr>
          <xdr:spPr>
            <a:xfrm>
              <a:off x="2960688" y="4746625"/>
              <a:ext cx="877703" cy="186766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398636</xdr:colOff>
      <xdr:row>25</xdr:row>
      <xdr:rowOff>62184</xdr:rowOff>
    </xdr:from>
    <xdr:to>
      <xdr:col>17</xdr:col>
      <xdr:colOff>160045</xdr:colOff>
      <xdr:row>38</xdr:row>
      <xdr:rowOff>71624</xdr:rowOff>
    </xdr:to>
    <xdr:sp macro="" textlink="">
      <xdr:nvSpPr>
        <xdr:cNvPr id="2" name="Rectangle: Rounded Corners 1">
          <a:extLst>
            <a:ext uri="{FF2B5EF4-FFF2-40B4-BE49-F238E27FC236}">
              <a16:creationId xmlns:a16="http://schemas.microsoft.com/office/drawing/2014/main" id="{F0E28BB4-775C-444A-AE7B-EEF56077645C}"/>
            </a:ext>
          </a:extLst>
        </xdr:cNvPr>
        <xdr:cNvSpPr/>
      </xdr:nvSpPr>
      <xdr:spPr>
        <a:xfrm>
          <a:off x="4056236" y="4718851"/>
          <a:ext cx="6467009" cy="2430906"/>
        </a:xfrm>
        <a:prstGeom prst="roundRect">
          <a:avLst/>
        </a:prstGeom>
        <a:solidFill>
          <a:schemeClr val="tx1"/>
        </a:solidFill>
        <a:ln w="9525">
          <a:gradFill>
            <a:gsLst>
              <a:gs pos="74000">
                <a:schemeClr val="accent1">
                  <a:lumMod val="60000"/>
                  <a:lumOff val="40000"/>
                </a:schemeClr>
              </a:gs>
              <a:gs pos="0">
                <a:schemeClr val="accent1">
                  <a:lumMod val="45000"/>
                  <a:lumOff val="55000"/>
                </a:schemeClr>
              </a:gs>
              <a:gs pos="43000">
                <a:schemeClr val="accent1">
                  <a:alpha val="80000"/>
                  <a:lumMod val="100000"/>
                </a:schemeClr>
              </a:gs>
            </a:gsLst>
            <a:lin ang="5400000" scaled="1"/>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487192</xdr:colOff>
      <xdr:row>25</xdr:row>
      <xdr:rowOff>114127</xdr:rowOff>
    </xdr:from>
    <xdr:to>
      <xdr:col>16</xdr:col>
      <xdr:colOff>353980</xdr:colOff>
      <xdr:row>37</xdr:row>
      <xdr:rowOff>20594</xdr:rowOff>
    </xdr:to>
    <xdr:graphicFrame macro="">
      <xdr:nvGraphicFramePr>
        <xdr:cNvPr id="6" name="Chart 5">
          <a:extLst>
            <a:ext uri="{FF2B5EF4-FFF2-40B4-BE49-F238E27FC236}">
              <a16:creationId xmlns:a16="http://schemas.microsoft.com/office/drawing/2014/main" id="{C858BA1B-7916-414F-A3B3-F9757F6B9D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333174</xdr:colOff>
      <xdr:row>25</xdr:row>
      <xdr:rowOff>43706</xdr:rowOff>
    </xdr:from>
    <xdr:to>
      <xdr:col>23</xdr:col>
      <xdr:colOff>209549</xdr:colOff>
      <xdr:row>38</xdr:row>
      <xdr:rowOff>47625</xdr:rowOff>
    </xdr:to>
    <xdr:sp macro="" textlink="">
      <xdr:nvSpPr>
        <xdr:cNvPr id="40" name="Rectangle: Rounded Corners 39">
          <a:extLst>
            <a:ext uri="{FF2B5EF4-FFF2-40B4-BE49-F238E27FC236}">
              <a16:creationId xmlns:a16="http://schemas.microsoft.com/office/drawing/2014/main" id="{1E924B47-EDA6-4105-B4B2-FC8AB2A5B490}"/>
            </a:ext>
          </a:extLst>
        </xdr:cNvPr>
        <xdr:cNvSpPr/>
      </xdr:nvSpPr>
      <xdr:spPr>
        <a:xfrm>
          <a:off x="10696374" y="4568081"/>
          <a:ext cx="3533975" cy="2356594"/>
        </a:xfrm>
        <a:prstGeom prst="roundRect">
          <a:avLst/>
        </a:prstGeom>
        <a:solidFill>
          <a:schemeClr val="tx1"/>
        </a:solidFill>
        <a:ln w="9525">
          <a:gradFill>
            <a:gsLst>
              <a:gs pos="74000">
                <a:schemeClr val="accent1">
                  <a:lumMod val="60000"/>
                  <a:lumOff val="40000"/>
                </a:schemeClr>
              </a:gs>
              <a:gs pos="0">
                <a:schemeClr val="accent1">
                  <a:lumMod val="45000"/>
                  <a:lumOff val="55000"/>
                </a:schemeClr>
              </a:gs>
              <a:gs pos="43000">
                <a:schemeClr val="accent1">
                  <a:alpha val="80000"/>
                  <a:lumMod val="100000"/>
                </a:schemeClr>
              </a:gs>
            </a:gsLst>
            <a:lin ang="5400000" scaled="1"/>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10082</xdr:colOff>
      <xdr:row>26</xdr:row>
      <xdr:rowOff>27468</xdr:rowOff>
    </xdr:from>
    <xdr:to>
      <xdr:col>22</xdr:col>
      <xdr:colOff>579361</xdr:colOff>
      <xdr:row>36</xdr:row>
      <xdr:rowOff>110191</xdr:rowOff>
    </xdr:to>
    <xdr:graphicFrame macro="">
      <xdr:nvGraphicFramePr>
        <xdr:cNvPr id="45" name="Chart 44">
          <a:extLst>
            <a:ext uri="{FF2B5EF4-FFF2-40B4-BE49-F238E27FC236}">
              <a16:creationId xmlns:a16="http://schemas.microsoft.com/office/drawing/2014/main" id="{182D3EAF-98A5-4086-82F5-35E8F549C7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oneCell">
    <xdr:from>
      <xdr:col>6</xdr:col>
      <xdr:colOff>590166</xdr:colOff>
      <xdr:row>35</xdr:row>
      <xdr:rowOff>11156</xdr:rowOff>
    </xdr:from>
    <xdr:to>
      <xdr:col>16</xdr:col>
      <xdr:colOff>132236</xdr:colOff>
      <xdr:row>36</xdr:row>
      <xdr:rowOff>152642</xdr:rowOff>
    </xdr:to>
    <mc:AlternateContent xmlns:mc="http://schemas.openxmlformats.org/markup-compatibility/2006">
      <mc:Choice xmlns:a14="http://schemas.microsoft.com/office/drawing/2010/main" Requires="a14">
        <xdr:graphicFrame macro="">
          <xdr:nvGraphicFramePr>
            <xdr:cNvPr id="48" name="Name Month 2">
              <a:extLst>
                <a:ext uri="{FF2B5EF4-FFF2-40B4-BE49-F238E27FC236}">
                  <a16:creationId xmlns:a16="http://schemas.microsoft.com/office/drawing/2014/main" id="{C9D1D652-B3D0-4135-949C-7BA6C39170B4}"/>
                </a:ext>
              </a:extLst>
            </xdr:cNvPr>
            <xdr:cNvGraphicFramePr/>
          </xdr:nvGraphicFramePr>
          <xdr:xfrm>
            <a:off x="0" y="0"/>
            <a:ext cx="0" cy="0"/>
          </xdr:xfrm>
          <a:graphic>
            <a:graphicData uri="http://schemas.microsoft.com/office/drawing/2010/slicer">
              <sle:slicer xmlns:sle="http://schemas.microsoft.com/office/drawing/2010/slicer" name="Name Month 2"/>
            </a:graphicData>
          </a:graphic>
        </xdr:graphicFrame>
      </mc:Choice>
      <mc:Fallback>
        <xdr:sp macro="" textlink="">
          <xdr:nvSpPr>
            <xdr:cNvPr id="0" name=""/>
            <xdr:cNvSpPr>
              <a:spLocks noTextEdit="1"/>
            </xdr:cNvSpPr>
          </xdr:nvSpPr>
          <xdr:spPr>
            <a:xfrm>
              <a:off x="4257814" y="6458848"/>
              <a:ext cx="5654818" cy="32570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509058</xdr:colOff>
      <xdr:row>25</xdr:row>
      <xdr:rowOff>110466</xdr:rowOff>
    </xdr:from>
    <xdr:to>
      <xdr:col>6</xdr:col>
      <xdr:colOff>128076</xdr:colOff>
      <xdr:row>27</xdr:row>
      <xdr:rowOff>161026</xdr:rowOff>
    </xdr:to>
    <xdr:sp macro="" textlink="">
      <xdr:nvSpPr>
        <xdr:cNvPr id="52" name="TextBox 21">
          <a:extLst>
            <a:ext uri="{FF2B5EF4-FFF2-40B4-BE49-F238E27FC236}">
              <a16:creationId xmlns:a16="http://schemas.microsoft.com/office/drawing/2014/main" id="{01DE4402-12FC-C8F4-68FC-C98C6CBD8E30}"/>
            </a:ext>
          </a:extLst>
        </xdr:cNvPr>
        <xdr:cNvSpPr txBox="1"/>
      </xdr:nvSpPr>
      <xdr:spPr>
        <a:xfrm rot="10800000" flipV="1">
          <a:off x="2947458" y="4767133"/>
          <a:ext cx="838218" cy="423093"/>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IN" sz="2800" b="1">
              <a:solidFill>
                <a:schemeClr val="tx1"/>
              </a:solidFill>
            </a:rPr>
            <a:t>..</a:t>
          </a:r>
        </a:p>
      </xdr:txBody>
    </xdr:sp>
    <xdr:clientData/>
  </xdr:twoCellAnchor>
</xdr:wsDr>
</file>

<file path=xl/drawings/drawing2.xml><?xml version="1.0" encoding="utf-8"?>
<c:userShapes xmlns:c="http://schemas.openxmlformats.org/drawingml/2006/chart">
  <cdr:relSizeAnchor xmlns:cdr="http://schemas.openxmlformats.org/drawingml/2006/chartDrawing">
    <cdr:from>
      <cdr:x>0.3908</cdr:x>
      <cdr:y>0.42241</cdr:y>
    </cdr:from>
    <cdr:to>
      <cdr:x>0.73946</cdr:x>
      <cdr:y>0.63362</cdr:y>
    </cdr:to>
    <cdr:sp macro="" textlink="PIVOT!$T$31">
      <cdr:nvSpPr>
        <cdr:cNvPr id="2" name="TextBox 13">
          <a:extLst xmlns:a="http://schemas.openxmlformats.org/drawingml/2006/main">
            <a:ext uri="{FF2B5EF4-FFF2-40B4-BE49-F238E27FC236}">
              <a16:creationId xmlns:a16="http://schemas.microsoft.com/office/drawing/2014/main" id="{82657ACC-697E-4639-93B1-93B6A107B834}"/>
            </a:ext>
          </a:extLst>
        </cdr:cNvPr>
        <cdr:cNvSpPr txBox="1"/>
      </cdr:nvSpPr>
      <cdr:spPr>
        <a:xfrm xmlns:a="http://schemas.openxmlformats.org/drawingml/2006/main">
          <a:off x="785091" y="754303"/>
          <a:ext cx="700424" cy="377152"/>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fld id="{2E17531A-4A9C-4D97-92DD-DD0489918954}" type="TxLink">
            <a:rPr lang="en-US" sz="2000" b="1" i="0" u="none" strike="noStrike">
              <a:solidFill>
                <a:schemeClr val="bg1"/>
              </a:solidFill>
              <a:latin typeface="Aptos Narrow"/>
            </a:rPr>
            <a:pPr/>
            <a:t>9%</a:t>
          </a:fld>
          <a:endParaRPr lang="en-IN" sz="2000" b="1">
            <a:solidFill>
              <a:schemeClr val="bg1"/>
            </a:solidFill>
          </a:endParaRPr>
        </a:p>
      </cdr:txBody>
    </cdr:sp>
  </cdr:relSizeAnchor>
</c:userShapes>
</file>

<file path=xl/drawings/drawing3.xml><?xml version="1.0" encoding="utf-8"?>
<c:userShapes xmlns:c="http://schemas.openxmlformats.org/drawingml/2006/chart">
  <cdr:relSizeAnchor xmlns:cdr="http://schemas.openxmlformats.org/drawingml/2006/chartDrawing">
    <cdr:from>
      <cdr:x>0.3908</cdr:x>
      <cdr:y>0.42241</cdr:y>
    </cdr:from>
    <cdr:to>
      <cdr:x>0.73946</cdr:x>
      <cdr:y>0.63362</cdr:y>
    </cdr:to>
    <cdr:sp macro="" textlink="PIVOT!$T$32">
      <cdr:nvSpPr>
        <cdr:cNvPr id="2" name="TextBox 13">
          <a:extLst xmlns:a="http://schemas.openxmlformats.org/drawingml/2006/main">
            <a:ext uri="{FF2B5EF4-FFF2-40B4-BE49-F238E27FC236}">
              <a16:creationId xmlns:a16="http://schemas.microsoft.com/office/drawing/2014/main" id="{82657ACC-697E-4639-93B1-93B6A107B834}"/>
            </a:ext>
          </a:extLst>
        </cdr:cNvPr>
        <cdr:cNvSpPr txBox="1"/>
      </cdr:nvSpPr>
      <cdr:spPr>
        <a:xfrm xmlns:a="http://schemas.openxmlformats.org/drawingml/2006/main">
          <a:off x="785091" y="754303"/>
          <a:ext cx="700424" cy="377152"/>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p xmlns:a="http://schemas.openxmlformats.org/drawingml/2006/main">
          <a:fld id="{724227F6-C8D9-4212-AED5-9A3BE98F8BAD}" type="TxLink">
            <a:rPr lang="en-US" sz="2000" b="1" i="0" u="none" strike="noStrike">
              <a:solidFill>
                <a:schemeClr val="bg1"/>
              </a:solidFill>
              <a:latin typeface="Aptos Narrow"/>
            </a:rPr>
            <a:pPr/>
            <a:t>12%</a:t>
          </a:fld>
          <a:endParaRPr lang="en-US" sz="2000" b="1">
            <a:solidFill>
              <a:schemeClr val="bg1"/>
            </a:solidFill>
          </a:endParaRPr>
        </a:p>
      </cdr:txBody>
    </cdr:sp>
  </cdr:relSizeAnchor>
</c:userShapes>
</file>

<file path=xl/drawings/drawing4.xml><?xml version="1.0" encoding="utf-8"?>
<c:userShapes xmlns:c="http://schemas.openxmlformats.org/drawingml/2006/chart">
  <cdr:relSizeAnchor xmlns:cdr="http://schemas.openxmlformats.org/drawingml/2006/chartDrawing">
    <cdr:from>
      <cdr:x>0.43969</cdr:x>
      <cdr:y>0.42241</cdr:y>
    </cdr:from>
    <cdr:to>
      <cdr:x>0.72763</cdr:x>
      <cdr:y>0.63362</cdr:y>
    </cdr:to>
    <cdr:sp macro="" textlink="PIVOT!$T$33">
      <cdr:nvSpPr>
        <cdr:cNvPr id="2" name="TextBox 13">
          <a:extLst xmlns:a="http://schemas.openxmlformats.org/drawingml/2006/main">
            <a:ext uri="{FF2B5EF4-FFF2-40B4-BE49-F238E27FC236}">
              <a16:creationId xmlns:a16="http://schemas.microsoft.com/office/drawing/2014/main" id="{82657ACC-697E-4639-93B1-93B6A107B834}"/>
            </a:ext>
          </a:extLst>
        </cdr:cNvPr>
        <cdr:cNvSpPr txBox="1"/>
      </cdr:nvSpPr>
      <cdr:spPr>
        <a:xfrm xmlns:a="http://schemas.openxmlformats.org/drawingml/2006/main">
          <a:off x="869758" y="773805"/>
          <a:ext cx="569576" cy="386911"/>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fld id="{9BD5489D-DF42-418F-B9DE-762EE9921253}" type="TxLink">
            <a:rPr lang="en-US" sz="2000" b="1" i="0" u="none" strike="noStrike">
              <a:solidFill>
                <a:schemeClr val="bg1"/>
              </a:solidFill>
              <a:latin typeface="Aptos Narrow"/>
            </a:rPr>
            <a:pPr/>
            <a:t>0%</a:t>
          </a:fld>
          <a:endParaRPr lang="en-IN" sz="2000" b="1">
            <a:solidFill>
              <a:schemeClr val="bg1"/>
            </a:solidFill>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0.81</cdr:x>
      <cdr:y>0</cdr:y>
    </cdr:from>
    <cdr:to>
      <cdr:x>0.8975</cdr:x>
      <cdr:y>0.16514</cdr:y>
    </cdr:to>
    <cdr:sp macro="" textlink="PIVOT!$J$19">
      <cdr:nvSpPr>
        <cdr:cNvPr id="2" name="TextBox 11">
          <a:extLst xmlns:a="http://schemas.openxmlformats.org/drawingml/2006/main">
            <a:ext uri="{FF2B5EF4-FFF2-40B4-BE49-F238E27FC236}">
              <a16:creationId xmlns:a16="http://schemas.microsoft.com/office/drawing/2014/main" id="{D3B71A47-C690-4997-B433-2E549742338E}"/>
            </a:ext>
          </a:extLst>
        </cdr:cNvPr>
        <cdr:cNvSpPr txBox="1"/>
      </cdr:nvSpPr>
      <cdr:spPr>
        <a:xfrm xmlns:a="http://schemas.openxmlformats.org/drawingml/2006/main">
          <a:off x="5143527" y="0"/>
          <a:ext cx="555598" cy="285750"/>
        </a:xfrm>
        <a:prstGeom xmlns:a="http://schemas.openxmlformats.org/drawingml/2006/main" prst="rect">
          <a:avLst/>
        </a:prstGeom>
        <a:solidFill xmlns:a="http://schemas.openxmlformats.org/drawingml/2006/main">
          <a:schemeClr val="tx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fld id="{06BA0308-28CE-42DB-8D2F-BC5A7A862FC2}" type="TxLink">
            <a:rPr lang="en-US" sz="1100" b="1" i="0" u="none" strike="noStrike">
              <a:solidFill>
                <a:schemeClr val="bg1"/>
              </a:solidFill>
              <a:latin typeface="Aptos Narrow"/>
            </a:rPr>
            <a:pPr/>
            <a:t>3079</a:t>
          </a:fld>
          <a:endParaRPr lang="en-US" sz="1100" b="1">
            <a:solidFill>
              <a:schemeClr val="bg1"/>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0.38234</cdr:x>
      <cdr:y>0.45785</cdr:y>
    </cdr:from>
    <cdr:to>
      <cdr:x>0.63244</cdr:x>
      <cdr:y>0.6701</cdr:y>
    </cdr:to>
    <cdr:sp macro="" textlink="PIVOT!$N$5">
      <cdr:nvSpPr>
        <cdr:cNvPr id="3" name="TextBox 21">
          <a:extLst xmlns:a="http://schemas.openxmlformats.org/drawingml/2006/main">
            <a:ext uri="{FF2B5EF4-FFF2-40B4-BE49-F238E27FC236}">
              <a16:creationId xmlns:a16="http://schemas.microsoft.com/office/drawing/2014/main" id="{315BE3A7-A629-DE66-AB0F-AB70BD1AE49A}"/>
            </a:ext>
          </a:extLst>
        </cdr:cNvPr>
        <cdr:cNvSpPr txBox="1"/>
      </cdr:nvSpPr>
      <cdr:spPr>
        <a:xfrm xmlns:a="http://schemas.openxmlformats.org/drawingml/2006/main" rot="10800000" flipV="1">
          <a:off x="1281430" y="958850"/>
          <a:ext cx="838200" cy="444500"/>
        </a:xfrm>
        <a:prstGeom xmlns:a="http://schemas.openxmlformats.org/drawingml/2006/main" prst="rect">
          <a:avLst/>
        </a:prstGeom>
        <a:solidFill xmlns:a="http://schemas.openxmlformats.org/drawingml/2006/main">
          <a:schemeClr val="tx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fld id="{AD00057D-49EF-44DC-A4C7-6336D37D83E9}" type="TxLink">
            <a:rPr lang="en-US" sz="2800" b="1" i="0" u="none" strike="noStrike">
              <a:solidFill>
                <a:srgbClr val="B1EDB8"/>
              </a:solidFill>
              <a:latin typeface="Aptos Narrow"/>
            </a:rPr>
            <a:pPr/>
            <a:t>46%</a:t>
          </a:fld>
          <a:endParaRPr lang="en-IN" sz="2800" b="1">
            <a:solidFill>
              <a:srgbClr val="B1EDB8"/>
            </a:solidFill>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0.37361</cdr:x>
      <cdr:y>0.44793</cdr:y>
    </cdr:from>
    <cdr:to>
      <cdr:x>0.58358</cdr:x>
      <cdr:y>0.65289</cdr:y>
    </cdr:to>
    <cdr:sp macro="" textlink="PIVOT!$V$20">
      <cdr:nvSpPr>
        <cdr:cNvPr id="2" name="TextBox 21">
          <a:extLst xmlns:a="http://schemas.openxmlformats.org/drawingml/2006/main">
            <a:ext uri="{FF2B5EF4-FFF2-40B4-BE49-F238E27FC236}">
              <a16:creationId xmlns:a16="http://schemas.microsoft.com/office/drawing/2014/main" id="{D53E099B-AF84-937E-A7C0-857CBD7AD4D8}"/>
            </a:ext>
          </a:extLst>
        </cdr:cNvPr>
        <cdr:cNvSpPr txBox="1"/>
      </cdr:nvSpPr>
      <cdr:spPr>
        <a:xfrm xmlns:a="http://schemas.openxmlformats.org/drawingml/2006/main" rot="10800000" flipV="1">
          <a:off x="1011236" y="860426"/>
          <a:ext cx="568327" cy="393700"/>
        </a:xfrm>
        <a:prstGeom xmlns:a="http://schemas.openxmlformats.org/drawingml/2006/main" prst="rect">
          <a:avLst/>
        </a:prstGeom>
        <a:solidFill xmlns:a="http://schemas.openxmlformats.org/drawingml/2006/main">
          <a:schemeClr val="tx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fld id="{72C82F0A-61D6-4A1E-9311-649E2E75635C}" type="TxLink">
            <a:rPr lang="en-US" sz="1100" b="1" i="0" u="none" strike="noStrike">
              <a:solidFill>
                <a:schemeClr val="bg1"/>
              </a:solidFill>
              <a:latin typeface="Aptos Narrow"/>
            </a:rPr>
            <a:pPr/>
            <a:t>1780</a:t>
          </a:fld>
          <a:endParaRPr lang="en-IN" sz="1600" b="1">
            <a:solidFill>
              <a:schemeClr val="bg1"/>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Lenovo\Downloads\0_Data1_NEWs.xlsm" TargetMode="External"/><Relationship Id="rId1" Type="http://schemas.openxmlformats.org/officeDocument/2006/relationships/externalLinkPath" Target="0_Data1_NEW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IVOT"/>
      <sheetName val="DASHBOARD"/>
      <sheetName val="Data"/>
    </sheetNames>
    <sheetDataSet>
      <sheetData sheetId="0">
        <row r="4">
          <cell r="Z4" t="str">
            <v xml:space="preserve">SALES </v>
          </cell>
          <cell r="AA4" t="str">
            <v>SALES L2</v>
          </cell>
          <cell r="AB4" t="str">
            <v>COST</v>
          </cell>
          <cell r="AC4" t="str">
            <v>DÉCOR</v>
          </cell>
        </row>
        <row r="5">
          <cell r="Z5">
            <v>100.7</v>
          </cell>
          <cell r="AA5">
            <v>350</v>
          </cell>
          <cell r="AB5">
            <v>100.7</v>
          </cell>
          <cell r="AC5">
            <v>350</v>
          </cell>
        </row>
        <row r="6">
          <cell r="Z6">
            <v>225</v>
          </cell>
          <cell r="AA6">
            <v>225</v>
          </cell>
          <cell r="AB6">
            <v>105.7</v>
          </cell>
          <cell r="AC6">
            <v>225</v>
          </cell>
        </row>
        <row r="7">
          <cell r="Z7">
            <v>20</v>
          </cell>
          <cell r="AA7">
            <v>220</v>
          </cell>
          <cell r="AB7">
            <v>126</v>
          </cell>
          <cell r="AC7">
            <v>220</v>
          </cell>
        </row>
        <row r="8">
          <cell r="Z8">
            <v>325</v>
          </cell>
          <cell r="AA8">
            <v>325</v>
          </cell>
          <cell r="AB8">
            <v>162.75</v>
          </cell>
          <cell r="AC8">
            <v>325</v>
          </cell>
        </row>
        <row r="9">
          <cell r="Z9">
            <v>240</v>
          </cell>
          <cell r="AA9">
            <v>240</v>
          </cell>
          <cell r="AB9">
            <v>160.65</v>
          </cell>
          <cell r="AC9">
            <v>240</v>
          </cell>
        </row>
        <row r="10">
          <cell r="Z10">
            <v>295</v>
          </cell>
          <cell r="AA10">
            <v>295</v>
          </cell>
          <cell r="AB10">
            <v>100.8</v>
          </cell>
          <cell r="AC10">
            <v>295</v>
          </cell>
        </row>
        <row r="11">
          <cell r="Z11">
            <v>425</v>
          </cell>
          <cell r="AA11">
            <v>425</v>
          </cell>
          <cell r="AB11">
            <v>171.15</v>
          </cell>
          <cell r="AC11">
            <v>425</v>
          </cell>
          <cell r="AP11" t="str">
            <v>inventory</v>
          </cell>
          <cell r="AQ11" t="str">
            <v>sales</v>
          </cell>
        </row>
        <row r="12">
          <cell r="Z12">
            <v>440</v>
          </cell>
          <cell r="AA12">
            <v>440</v>
          </cell>
          <cell r="AB12">
            <v>164.85</v>
          </cell>
          <cell r="AC12">
            <v>440</v>
          </cell>
          <cell r="AO12" t="str">
            <v>Sum of Storage-I</v>
          </cell>
          <cell r="AP12">
            <v>2763</v>
          </cell>
          <cell r="AQ12">
            <v>4389</v>
          </cell>
        </row>
        <row r="13">
          <cell r="Z13">
            <v>275</v>
          </cell>
          <cell r="AA13">
            <v>275</v>
          </cell>
          <cell r="AB13">
            <v>177.45</v>
          </cell>
          <cell r="AC13">
            <v>275</v>
          </cell>
          <cell r="AO13" t="str">
            <v>Sum of Handling-I</v>
          </cell>
          <cell r="AP13">
            <v>3786</v>
          </cell>
          <cell r="AQ13">
            <v>4408</v>
          </cell>
        </row>
        <row r="14">
          <cell r="Z14">
            <v>350</v>
          </cell>
          <cell r="AA14">
            <v>350</v>
          </cell>
          <cell r="AB14">
            <v>151.19999999999999</v>
          </cell>
          <cell r="AC14">
            <v>350</v>
          </cell>
          <cell r="AO14" t="str">
            <v>Sum of Packaging-I</v>
          </cell>
          <cell r="AP14">
            <v>3490</v>
          </cell>
          <cell r="AQ14">
            <v>4549</v>
          </cell>
        </row>
        <row r="15">
          <cell r="Z15">
            <v>290</v>
          </cell>
          <cell r="AA15">
            <v>290</v>
          </cell>
          <cell r="AB15">
            <v>155.4</v>
          </cell>
          <cell r="AC15">
            <v>290</v>
          </cell>
          <cell r="AO15" t="str">
            <v>Sum of Automation-I</v>
          </cell>
          <cell r="AP15">
            <v>5067</v>
          </cell>
          <cell r="AQ15">
            <v>3547</v>
          </cell>
        </row>
        <row r="16">
          <cell r="Z16">
            <v>375</v>
          </cell>
          <cell r="AA16">
            <v>375</v>
          </cell>
          <cell r="AB16">
            <v>107.1</v>
          </cell>
          <cell r="AC16">
            <v>375</v>
          </cell>
          <cell r="AO16" t="str">
            <v>Sum of Accessories-I</v>
          </cell>
          <cell r="AP16">
            <v>3536</v>
          </cell>
          <cell r="AQ16">
            <v>2444</v>
          </cell>
        </row>
        <row r="17">
          <cell r="AO17" t="str">
            <v>Sum of Containers-I</v>
          </cell>
          <cell r="AP17">
            <v>4128</v>
          </cell>
          <cell r="AQ17">
            <v>3308</v>
          </cell>
        </row>
      </sheetData>
      <sheetData sheetId="1" refreshError="1"/>
      <sheetData sheetId="2"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0_Data1_NEWs.xlsm" TargetMode="External"/><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6242.95362615741" createdVersion="8" refreshedVersion="8" minRefreshableVersion="3" recordCount="192" xr:uid="{3AC08182-5A61-4C48-8320-2B6473937BFE}">
  <cacheSource type="worksheet">
    <worksheetSource name="Table1"/>
  </cacheSource>
  <cacheFields count="32">
    <cacheField name="Year" numFmtId="0">
      <sharedItems containsSemiMixedTypes="0" containsString="0" containsNumber="1" containsInteger="1" minValue="2023" maxValue="2026" count="4">
        <n v="2026"/>
        <n v="2025"/>
        <n v="2024"/>
        <n v="2023"/>
      </sharedItems>
    </cacheField>
    <cacheField name="Month" numFmtId="0">
      <sharedItems containsSemiMixedTypes="0" containsString="0" containsNumber="1" containsInteger="1" minValue="1" maxValue="12" count="12">
        <n v="1"/>
        <n v="2"/>
        <n v="3"/>
        <n v="4"/>
        <n v="5"/>
        <n v="6"/>
        <n v="7"/>
        <n v="8"/>
        <n v="9"/>
        <n v="10"/>
        <n v="11"/>
        <n v="12"/>
      </sharedItems>
    </cacheField>
    <cacheField name="Name Month" numFmtId="0">
      <sharedItems count="12">
        <s v="JAN"/>
        <s v="FEB"/>
        <s v="MAR"/>
        <s v="APR"/>
        <s v="MAY"/>
        <s v="JUN"/>
        <s v="JUL"/>
        <s v="AUG"/>
        <s v="SEP"/>
        <s v="OCT"/>
        <s v="NOV"/>
        <s v="DEC"/>
      </sharedItems>
    </cacheField>
    <cacheField name="Business Units" numFmtId="0">
      <sharedItems count="4">
        <s v="West Hub"/>
        <s v="South Hub"/>
        <s v="North Hub"/>
        <s v="East Hub"/>
      </sharedItems>
    </cacheField>
    <cacheField name="New Clients" numFmtId="0">
      <sharedItems containsSemiMixedTypes="0" containsString="0" containsNumber="1" containsInteger="1" minValue="18" maxValue="126"/>
    </cacheField>
    <cacheField name="Regular Clients" numFmtId="0">
      <sharedItems containsSemiMixedTypes="0" containsString="0" containsNumber="1" minValue="0.19999999999999998" maxValue="0.8"/>
    </cacheField>
    <cacheField name="Average Check" numFmtId="0">
      <sharedItems containsSemiMixedTypes="0" containsString="0" containsNumber="1" minValue="0.27777777777777779" maxValue="5.6481481481481479"/>
    </cacheField>
    <cacheField name="Sales" numFmtId="0">
      <sharedItems containsSemiMixedTypes="0" containsString="0" containsNumber="1" minValue="23" maxValue="157.5"/>
    </cacheField>
    <cacheField name="Cost" numFmtId="0">
      <sharedItems containsSemiMixedTypes="0" containsString="0" containsNumber="1" minValue="8" maxValue="61.95"/>
    </cacheField>
    <cacheField name="Storage-I" numFmtId="0">
      <sharedItems containsSemiMixedTypes="0" containsString="0" containsNumber="1" containsInteger="1" minValue="28" maxValue="140"/>
    </cacheField>
    <cacheField name="Handling-I" numFmtId="0">
      <sharedItems containsSemiMixedTypes="0" containsString="0" containsNumber="1" containsInteger="1" minValue="27" maxValue="146"/>
    </cacheField>
    <cacheField name="Packaging-I" numFmtId="0">
      <sharedItems containsSemiMixedTypes="0" containsString="0" containsNumber="1" containsInteger="1" minValue="25" maxValue="149"/>
    </cacheField>
    <cacheField name="Automation-I" numFmtId="0">
      <sharedItems containsSemiMixedTypes="0" containsString="0" containsNumber="1" containsInteger="1" minValue="26" maxValue="145"/>
    </cacheField>
    <cacheField name="Accessories-I" numFmtId="0">
      <sharedItems containsSemiMixedTypes="0" containsString="0" containsNumber="1" containsInteger="1" minValue="26" maxValue="150"/>
    </cacheField>
    <cacheField name="Containers-I" numFmtId="0">
      <sharedItems containsSemiMixedTypes="0" containsString="0" containsNumber="1" containsInteger="1" minValue="27" maxValue="148"/>
    </cacheField>
    <cacheField name="Storage-S" numFmtId="0">
      <sharedItems containsSemiMixedTypes="0" containsString="0" containsNumber="1" containsInteger="1" minValue="35" maxValue="150"/>
    </cacheField>
    <cacheField name="Handling-S" numFmtId="0">
      <sharedItems containsSemiMixedTypes="0" containsString="0" containsNumber="1" containsInteger="1" minValue="25" maxValue="142"/>
    </cacheField>
    <cacheField name="Packaging-S" numFmtId="0">
      <sharedItems containsSemiMixedTypes="0" containsString="0" containsNumber="1" containsInteger="1" minValue="32" maxValue="150"/>
    </cacheField>
    <cacheField name="Automation-S" numFmtId="0">
      <sharedItems containsSemiMixedTypes="0" containsString="0" containsNumber="1" containsInteger="1" minValue="28" maxValue="146"/>
    </cacheField>
    <cacheField name="Accessories-S" numFmtId="0">
      <sharedItems containsSemiMixedTypes="0" containsString="0" containsNumber="1" containsInteger="1" minValue="26" maxValue="145"/>
    </cacheField>
    <cacheField name="Containers-S" numFmtId="0">
      <sharedItems containsSemiMixedTypes="0" containsString="0" containsNumber="1" containsInteger="1" minValue="25" maxValue="145"/>
    </cacheField>
    <cacheField name="Quality Score" numFmtId="0">
      <sharedItems containsSemiMixedTypes="0" containsString="0" containsNumber="1" containsInteger="1" minValue="14" maxValue="167"/>
    </cacheField>
    <cacheField name="Racking" numFmtId="0">
      <sharedItems containsSemiMixedTypes="0" containsString="0" containsNumber="1" containsInteger="1" minValue="1" maxValue="672"/>
    </cacheField>
    <cacheField name="Shelving" numFmtId="0">
      <sharedItems containsSemiMixedTypes="0" containsString="0" containsNumber="1" containsInteger="1" minValue="3" maxValue="897"/>
    </cacheField>
    <cacheField name="Forklifts" numFmtId="0">
      <sharedItems containsSemiMixedTypes="0" containsString="0" containsNumber="1" containsInteger="1" minValue="7" maxValue="950"/>
    </cacheField>
    <cacheField name="Conveyors" numFmtId="0">
      <sharedItems containsSemiMixedTypes="0" containsString="0" containsNumber="1" containsInteger="1" minValue="8" maxValue="612"/>
    </cacheField>
    <cacheField name="Packaging2" numFmtId="0">
      <sharedItems containsSemiMixedTypes="0" containsString="0" containsNumber="1" containsInteger="1" minValue="5" maxValue="680"/>
    </cacheField>
    <cacheField name="Scanners" numFmtId="0">
      <sharedItems containsSemiMixedTypes="0" containsString="0" containsNumber="1" containsInteger="1" minValue="5" maxValue="732"/>
    </cacheField>
    <cacheField name="Pallets" numFmtId="0">
      <sharedItems containsSemiMixedTypes="0" containsString="0" containsNumber="1" containsInteger="1" minValue="2" maxValue="752"/>
    </cacheField>
    <cacheField name="Crates" numFmtId="0">
      <sharedItems containsSemiMixedTypes="0" containsString="0" containsNumber="1" containsInteger="1" minValue="5" maxValue="817"/>
    </cacheField>
    <cacheField name="Docking" numFmtId="0">
      <sharedItems containsSemiMixedTypes="0" containsString="0" containsNumber="1" containsInteger="1" minValue="9" maxValue="947"/>
    </cacheField>
    <cacheField name="Containers3" numFmtId="0">
      <sharedItems containsSemiMixedTypes="0" containsString="0" containsNumber="1" containsInteger="1" minValue="5" maxValue="660"/>
    </cacheField>
  </cacheFields>
  <extLst>
    <ext xmlns:x14="http://schemas.microsoft.com/office/spreadsheetml/2009/9/main" uri="{725AE2AE-9491-48be-B2B4-4EB974FC3084}">
      <x14:pivotCacheDefinition pivotCacheId="93688356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6242.95362615741" createdVersion="8" refreshedVersion="8" minRefreshableVersion="3" recordCount="192" xr:uid="{DBEED1DA-DE6E-4AE4-9F49-C827A5778159}">
  <cacheSource type="worksheet">
    <worksheetSource name="Table1" r:id="rId2"/>
  </cacheSource>
  <cacheFields count="32">
    <cacheField name="Year" numFmtId="0">
      <sharedItems containsSemiMixedTypes="0" containsString="0" containsNumber="1" containsInteger="1" minValue="2023" maxValue="2026" count="4">
        <n v="2026"/>
        <n v="2025"/>
        <n v="2024"/>
        <n v="2023"/>
      </sharedItems>
    </cacheField>
    <cacheField name="Month" numFmtId="0">
      <sharedItems containsSemiMixedTypes="0" containsString="0" containsNumber="1" containsInteger="1" minValue="1" maxValue="12" count="12">
        <n v="1"/>
        <n v="2"/>
        <n v="3"/>
        <n v="4"/>
        <n v="5"/>
        <n v="6"/>
        <n v="7"/>
        <n v="8"/>
        <n v="9"/>
        <n v="10"/>
        <n v="11"/>
        <n v="12"/>
      </sharedItems>
    </cacheField>
    <cacheField name="Name Month" numFmtId="0">
      <sharedItems count="12">
        <s v="JAN"/>
        <s v="FEB"/>
        <s v="MAR"/>
        <s v="APR"/>
        <s v="MAY"/>
        <s v="JUN"/>
        <s v="JUL"/>
        <s v="AUG"/>
        <s v="SEP"/>
        <s v="OCT"/>
        <s v="NOV"/>
        <s v="DEC"/>
      </sharedItems>
    </cacheField>
    <cacheField name="Business Units" numFmtId="0">
      <sharedItems count="4">
        <s v="West Hub"/>
        <s v="South Hub"/>
        <s v="North Hub"/>
        <s v="East Hub"/>
      </sharedItems>
    </cacheField>
    <cacheField name="New Clients" numFmtId="0">
      <sharedItems containsSemiMixedTypes="0" containsString="0" containsNumber="1" containsInteger="1" minValue="18" maxValue="126"/>
    </cacheField>
    <cacheField name="Regular Clients" numFmtId="0">
      <sharedItems containsSemiMixedTypes="0" containsString="0" containsNumber="1" minValue="0.19999999999999998" maxValue="0.8"/>
    </cacheField>
    <cacheField name="Average Check" numFmtId="0">
      <sharedItems containsSemiMixedTypes="0" containsString="0" containsNumber="1" minValue="0.27777777777777779" maxValue="5.6481481481481479"/>
    </cacheField>
    <cacheField name="Sales" numFmtId="0">
      <sharedItems containsSemiMixedTypes="0" containsString="0" containsNumber="1" minValue="23" maxValue="157.5"/>
    </cacheField>
    <cacheField name="Cost" numFmtId="0">
      <sharedItems containsSemiMixedTypes="0" containsString="0" containsNumber="1" minValue="8" maxValue="61.95"/>
    </cacheField>
    <cacheField name="Storage-I" numFmtId="0">
      <sharedItems containsSemiMixedTypes="0" containsString="0" containsNumber="1" containsInteger="1" minValue="28" maxValue="140"/>
    </cacheField>
    <cacheField name="Handling-I" numFmtId="0">
      <sharedItems containsSemiMixedTypes="0" containsString="0" containsNumber="1" containsInteger="1" minValue="27" maxValue="146"/>
    </cacheField>
    <cacheField name="Packaging-I" numFmtId="0">
      <sharedItems containsSemiMixedTypes="0" containsString="0" containsNumber="1" containsInteger="1" minValue="25" maxValue="149"/>
    </cacheField>
    <cacheField name="Automation-I" numFmtId="0">
      <sharedItems containsSemiMixedTypes="0" containsString="0" containsNumber="1" containsInteger="1" minValue="26" maxValue="145"/>
    </cacheField>
    <cacheField name="Accessories-I" numFmtId="0">
      <sharedItems containsSemiMixedTypes="0" containsString="0" containsNumber="1" containsInteger="1" minValue="26" maxValue="150"/>
    </cacheField>
    <cacheField name="Containers-I" numFmtId="0">
      <sharedItems containsSemiMixedTypes="0" containsString="0" containsNumber="1" containsInteger="1" minValue="27" maxValue="148"/>
    </cacheField>
    <cacheField name="Storage-S" numFmtId="0">
      <sharedItems containsSemiMixedTypes="0" containsString="0" containsNumber="1" containsInteger="1" minValue="35" maxValue="150"/>
    </cacheField>
    <cacheField name="Handling-S" numFmtId="0">
      <sharedItems containsSemiMixedTypes="0" containsString="0" containsNumber="1" containsInteger="1" minValue="25" maxValue="142"/>
    </cacheField>
    <cacheField name="Packaging-S" numFmtId="0">
      <sharedItems containsSemiMixedTypes="0" containsString="0" containsNumber="1" containsInteger="1" minValue="32" maxValue="150"/>
    </cacheField>
    <cacheField name="Automation-S" numFmtId="0">
      <sharedItems containsSemiMixedTypes="0" containsString="0" containsNumber="1" containsInteger="1" minValue="28" maxValue="146"/>
    </cacheField>
    <cacheField name="Accessories-S" numFmtId="0">
      <sharedItems containsSemiMixedTypes="0" containsString="0" containsNumber="1" containsInteger="1" minValue="26" maxValue="145"/>
    </cacheField>
    <cacheField name="Containers-S" numFmtId="0">
      <sharedItems containsSemiMixedTypes="0" containsString="0" containsNumber="1" containsInteger="1" minValue="25" maxValue="145"/>
    </cacheField>
    <cacheField name="Quality Score" numFmtId="0">
      <sharedItems containsSemiMixedTypes="0" containsString="0" containsNumber="1" containsInteger="1" minValue="14" maxValue="167"/>
    </cacheField>
    <cacheField name="Racking" numFmtId="0">
      <sharedItems containsSemiMixedTypes="0" containsString="0" containsNumber="1" containsInteger="1" minValue="1" maxValue="672"/>
    </cacheField>
    <cacheField name="Shelving" numFmtId="0">
      <sharedItems containsSemiMixedTypes="0" containsString="0" containsNumber="1" containsInteger="1" minValue="3" maxValue="897"/>
    </cacheField>
    <cacheField name="Forklifts" numFmtId="0">
      <sharedItems containsSemiMixedTypes="0" containsString="0" containsNumber="1" containsInteger="1" minValue="7" maxValue="950"/>
    </cacheField>
    <cacheField name="Conveyors" numFmtId="0">
      <sharedItems containsSemiMixedTypes="0" containsString="0" containsNumber="1" containsInteger="1" minValue="8" maxValue="612"/>
    </cacheField>
    <cacheField name="Packaging2" numFmtId="0">
      <sharedItems containsSemiMixedTypes="0" containsString="0" containsNumber="1" containsInteger="1" minValue="5" maxValue="680"/>
    </cacheField>
    <cacheField name="Scanners" numFmtId="0">
      <sharedItems containsSemiMixedTypes="0" containsString="0" containsNumber="1" containsInteger="1" minValue="5" maxValue="732"/>
    </cacheField>
    <cacheField name="Pallets" numFmtId="0">
      <sharedItems containsSemiMixedTypes="0" containsString="0" containsNumber="1" containsInteger="1" minValue="2" maxValue="752"/>
    </cacheField>
    <cacheField name="Crates" numFmtId="0">
      <sharedItems containsSemiMixedTypes="0" containsString="0" containsNumber="1" containsInteger="1" minValue="5" maxValue="817"/>
    </cacheField>
    <cacheField name="Docking" numFmtId="0">
      <sharedItems containsSemiMixedTypes="0" containsString="0" containsNumber="1" containsInteger="1" minValue="9" maxValue="947"/>
    </cacheField>
    <cacheField name="Containers3" numFmtId="0">
      <sharedItems containsSemiMixedTypes="0" containsString="0" containsNumber="1" containsInteger="1" minValue="5" maxValue="660"/>
    </cacheField>
  </cacheFields>
  <extLst>
    <ext xmlns:x14="http://schemas.microsoft.com/office/spreadsheetml/2009/9/main" uri="{725AE2AE-9491-48be-B2B4-4EB974FC3084}">
      <x14:pivotCacheDefinition pivotCacheId="2820789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2">
  <r>
    <x v="0"/>
    <x v="0"/>
    <x v="0"/>
    <x v="0"/>
    <n v="77"/>
    <n v="0.57999999999999996"/>
    <n v="1.25"/>
    <n v="96.25"/>
    <n v="27.25"/>
    <n v="59"/>
    <n v="107"/>
    <n v="53"/>
    <n v="92"/>
    <n v="79"/>
    <n v="59"/>
    <n v="130"/>
    <n v="116"/>
    <n v="65"/>
    <n v="104"/>
    <n v="32"/>
    <n v="77"/>
    <n v="25"/>
    <n v="441"/>
    <n v="77"/>
    <n v="357"/>
    <n v="183"/>
    <n v="97"/>
    <n v="10"/>
    <n v="422"/>
    <n v="29"/>
    <n v="71"/>
    <n v="40"/>
  </r>
  <r>
    <x v="0"/>
    <x v="0"/>
    <x v="0"/>
    <x v="0"/>
    <n v="54"/>
    <n v="0.41"/>
    <n v="1.25"/>
    <n v="67.5"/>
    <n v="25.15"/>
    <n v="70"/>
    <n v="108"/>
    <n v="96"/>
    <n v="132"/>
    <n v="66"/>
    <n v="83"/>
    <n v="78"/>
    <n v="96"/>
    <n v="60"/>
    <n v="94"/>
    <n v="63"/>
    <n v="92"/>
    <n v="26"/>
    <n v="281"/>
    <n v="354"/>
    <n v="695"/>
    <n v="8"/>
    <n v="18"/>
    <n v="61"/>
    <n v="316"/>
    <n v="353"/>
    <n v="44"/>
    <n v="65"/>
  </r>
  <r>
    <x v="0"/>
    <x v="0"/>
    <x v="0"/>
    <x v="1"/>
    <n v="104"/>
    <n v="0.56999999999999995"/>
    <n v="1.25"/>
    <n v="130"/>
    <n v="17.3"/>
    <n v="78"/>
    <n v="102"/>
    <n v="41"/>
    <n v="116"/>
    <n v="49"/>
    <n v="103"/>
    <n v="100"/>
    <n v="114"/>
    <n v="138"/>
    <n v="104"/>
    <n v="33"/>
    <n v="94"/>
    <n v="19"/>
    <n v="345"/>
    <n v="159"/>
    <n v="375"/>
    <n v="162"/>
    <n v="139"/>
    <n v="93"/>
    <n v="136"/>
    <n v="220"/>
    <n v="82"/>
    <n v="172"/>
  </r>
  <r>
    <x v="0"/>
    <x v="0"/>
    <x v="0"/>
    <x v="2"/>
    <n v="45"/>
    <n v="0.75"/>
    <n v="1.25"/>
    <n v="56.25"/>
    <n v="31"/>
    <n v="57"/>
    <n v="51"/>
    <n v="84"/>
    <n v="139"/>
    <n v="68"/>
    <n v="91"/>
    <n v="73"/>
    <n v="116"/>
    <n v="50"/>
    <n v="61"/>
    <n v="66"/>
    <n v="34"/>
    <n v="30"/>
    <n v="415"/>
    <n v="151"/>
    <n v="677"/>
    <n v="108"/>
    <n v="104"/>
    <n v="107"/>
    <n v="656"/>
    <n v="28"/>
    <n v="104"/>
    <n v="75"/>
  </r>
  <r>
    <x v="0"/>
    <x v="1"/>
    <x v="1"/>
    <x v="0"/>
    <n v="27"/>
    <n v="0.52"/>
    <n v="2.9629629629629628"/>
    <n v="80"/>
    <n v="40.950000000000003"/>
    <n v="49"/>
    <n v="38"/>
    <n v="87"/>
    <n v="145"/>
    <n v="50"/>
    <n v="77"/>
    <n v="129"/>
    <n v="114"/>
    <n v="114"/>
    <n v="104"/>
    <n v="30"/>
    <n v="89"/>
    <n v="24"/>
    <n v="380"/>
    <n v="44"/>
    <n v="517"/>
    <n v="79"/>
    <n v="98"/>
    <n v="159"/>
    <n v="174"/>
    <n v="142"/>
    <n v="344"/>
    <n v="15"/>
  </r>
  <r>
    <x v="0"/>
    <x v="1"/>
    <x v="1"/>
    <x v="2"/>
    <n v="22"/>
    <n v="0.37"/>
    <n v="1.25"/>
    <n v="27.5"/>
    <n v="58.8"/>
    <n v="82"/>
    <n v="53"/>
    <n v="80"/>
    <n v="58"/>
    <n v="60"/>
    <n v="110"/>
    <n v="50"/>
    <n v="123"/>
    <n v="70"/>
    <n v="82"/>
    <n v="54"/>
    <n v="70"/>
    <n v="65"/>
    <n v="86"/>
    <n v="99"/>
    <n v="557"/>
    <n v="253"/>
    <n v="126"/>
    <n v="120"/>
    <n v="290"/>
    <n v="159"/>
    <n v="267"/>
    <n v="44"/>
  </r>
  <r>
    <x v="0"/>
    <x v="1"/>
    <x v="1"/>
    <x v="0"/>
    <n v="67"/>
    <n v="0.8"/>
    <n v="1.25"/>
    <n v="83.75"/>
    <n v="35.700000000000003"/>
    <n v="31"/>
    <n v="57"/>
    <n v="75"/>
    <n v="145"/>
    <n v="52"/>
    <n v="119"/>
    <n v="56"/>
    <n v="114"/>
    <n v="63"/>
    <n v="77"/>
    <n v="32"/>
    <n v="78"/>
    <n v="51"/>
    <n v="33"/>
    <n v="358"/>
    <n v="37"/>
    <n v="321"/>
    <n v="273"/>
    <n v="131"/>
    <n v="416"/>
    <n v="18"/>
    <n v="170"/>
    <n v="48"/>
  </r>
  <r>
    <x v="0"/>
    <x v="1"/>
    <x v="1"/>
    <x v="3"/>
    <n v="27"/>
    <n v="0.46"/>
    <n v="1.25"/>
    <n v="33.75"/>
    <n v="14.7"/>
    <n v="68"/>
    <n v="50"/>
    <n v="64"/>
    <n v="144"/>
    <n v="78"/>
    <n v="104"/>
    <n v="88"/>
    <n v="86"/>
    <n v="53"/>
    <n v="46"/>
    <n v="55"/>
    <n v="90"/>
    <n v="40"/>
    <n v="322"/>
    <n v="32"/>
    <n v="950"/>
    <n v="111"/>
    <n v="126"/>
    <n v="58"/>
    <n v="586"/>
    <n v="50"/>
    <n v="54"/>
    <n v="179"/>
  </r>
  <r>
    <x v="0"/>
    <x v="2"/>
    <x v="2"/>
    <x v="1"/>
    <n v="22"/>
    <n v="0.31"/>
    <n v="1.25"/>
    <n v="27.5"/>
    <n v="24.15"/>
    <n v="47"/>
    <n v="110"/>
    <n v="53"/>
    <n v="113"/>
    <n v="55"/>
    <n v="78"/>
    <n v="135"/>
    <n v="115"/>
    <n v="58"/>
    <n v="99"/>
    <n v="55"/>
    <n v="87"/>
    <n v="51"/>
    <n v="39"/>
    <n v="164"/>
    <n v="505"/>
    <n v="41"/>
    <n v="196"/>
    <n v="81"/>
    <n v="542"/>
    <n v="56"/>
    <n v="164"/>
    <n v="119"/>
  </r>
  <r>
    <x v="0"/>
    <x v="2"/>
    <x v="2"/>
    <x v="2"/>
    <n v="58"/>
    <n v="0.48"/>
    <n v="1.25"/>
    <n v="72.5"/>
    <n v="39.9"/>
    <n v="31"/>
    <n v="71"/>
    <n v="103"/>
    <n v="103"/>
    <n v="109"/>
    <n v="128"/>
    <n v="115"/>
    <n v="106"/>
    <n v="99"/>
    <n v="87"/>
    <n v="63"/>
    <n v="41"/>
    <n v="33"/>
    <n v="33"/>
    <n v="160"/>
    <n v="45"/>
    <n v="136"/>
    <n v="313"/>
    <n v="37"/>
    <n v="146"/>
    <n v="46"/>
    <n v="292"/>
    <n v="16"/>
  </r>
  <r>
    <x v="0"/>
    <x v="2"/>
    <x v="2"/>
    <x v="1"/>
    <n v="46"/>
    <n v="0.77"/>
    <n v="1.25"/>
    <n v="57.5"/>
    <n v="18.899999999999999"/>
    <n v="71"/>
    <n v="113"/>
    <n v="44"/>
    <n v="68"/>
    <n v="96"/>
    <n v="97"/>
    <n v="47"/>
    <n v="77"/>
    <n v="113"/>
    <n v="48"/>
    <n v="67"/>
    <n v="55"/>
    <n v="54"/>
    <n v="53"/>
    <n v="8"/>
    <n v="97"/>
    <n v="160"/>
    <n v="166"/>
    <n v="76"/>
    <n v="80"/>
    <n v="324"/>
    <n v="152"/>
    <n v="38"/>
  </r>
  <r>
    <x v="0"/>
    <x v="2"/>
    <x v="2"/>
    <x v="2"/>
    <n v="50"/>
    <n v="0.4"/>
    <n v="1.25"/>
    <n v="62.5"/>
    <n v="43.05"/>
    <n v="32"/>
    <n v="55"/>
    <n v="61"/>
    <n v="108"/>
    <n v="67"/>
    <n v="72"/>
    <n v="131"/>
    <n v="75"/>
    <n v="55"/>
    <n v="49"/>
    <n v="67"/>
    <n v="37"/>
    <n v="22"/>
    <n v="314"/>
    <n v="46"/>
    <n v="72"/>
    <n v="80"/>
    <n v="78"/>
    <n v="259"/>
    <n v="514"/>
    <n v="199"/>
    <n v="21"/>
    <n v="6"/>
  </r>
  <r>
    <x v="0"/>
    <x v="3"/>
    <x v="3"/>
    <x v="0"/>
    <n v="78"/>
    <n v="0.78"/>
    <n v="1.25"/>
    <n v="97.5"/>
    <n v="33.6"/>
    <n v="73"/>
    <n v="90"/>
    <n v="95"/>
    <n v="124"/>
    <n v="77"/>
    <n v="44"/>
    <n v="83"/>
    <n v="103"/>
    <n v="64"/>
    <n v="48"/>
    <n v="53"/>
    <n v="67"/>
    <n v="57"/>
    <n v="88"/>
    <n v="51"/>
    <n v="65"/>
    <n v="63"/>
    <n v="132"/>
    <n v="96"/>
    <n v="310"/>
    <n v="69"/>
    <n v="227"/>
    <n v="187"/>
  </r>
  <r>
    <x v="0"/>
    <x v="3"/>
    <x v="3"/>
    <x v="0"/>
    <n v="64"/>
    <n v="0.43"/>
    <n v="1.25"/>
    <n v="80"/>
    <n v="22.05"/>
    <n v="73"/>
    <n v="56"/>
    <n v="40"/>
    <n v="105"/>
    <n v="60"/>
    <n v="59"/>
    <n v="101"/>
    <n v="127"/>
    <n v="150"/>
    <n v="89"/>
    <n v="70"/>
    <n v="59"/>
    <n v="63"/>
    <n v="235"/>
    <n v="105"/>
    <n v="690"/>
    <n v="45"/>
    <n v="336"/>
    <n v="176"/>
    <n v="312"/>
    <n v="56"/>
    <n v="35"/>
    <n v="141"/>
  </r>
  <r>
    <x v="0"/>
    <x v="3"/>
    <x v="3"/>
    <x v="2"/>
    <n v="48"/>
    <n v="0.34"/>
    <n v="1.25"/>
    <n v="60"/>
    <n v="55.65"/>
    <n v="76"/>
    <n v="97"/>
    <n v="100"/>
    <n v="74"/>
    <n v="88"/>
    <n v="93"/>
    <n v="76"/>
    <n v="124"/>
    <n v="91"/>
    <n v="90"/>
    <n v="38"/>
    <n v="43"/>
    <n v="18"/>
    <n v="130"/>
    <n v="46"/>
    <n v="395"/>
    <n v="188"/>
    <n v="126"/>
    <n v="69"/>
    <n v="30"/>
    <n v="93"/>
    <n v="86"/>
    <n v="186"/>
  </r>
  <r>
    <x v="0"/>
    <x v="3"/>
    <x v="3"/>
    <x v="1"/>
    <n v="70"/>
    <n v="0.36"/>
    <n v="1.25"/>
    <n v="87.5"/>
    <n v="51.45"/>
    <n v="47"/>
    <n v="107"/>
    <n v="62"/>
    <n v="85"/>
    <n v="46"/>
    <n v="47"/>
    <n v="68"/>
    <n v="116"/>
    <n v="52"/>
    <n v="58"/>
    <n v="65"/>
    <n v="58"/>
    <n v="102"/>
    <n v="87"/>
    <n v="63"/>
    <n v="485"/>
    <n v="109"/>
    <n v="56"/>
    <n v="83"/>
    <n v="676"/>
    <n v="63"/>
    <n v="206"/>
    <n v="79"/>
  </r>
  <r>
    <x v="0"/>
    <x v="4"/>
    <x v="4"/>
    <x v="0"/>
    <n v="33"/>
    <n v="0.66"/>
    <n v="1.25"/>
    <n v="41.25"/>
    <n v="25.2"/>
    <n v="43"/>
    <n v="77"/>
    <n v="96"/>
    <n v="104"/>
    <n v="59"/>
    <n v="99"/>
    <n v="129"/>
    <n v="88"/>
    <n v="60"/>
    <n v="86"/>
    <n v="37"/>
    <n v="95"/>
    <n v="92"/>
    <n v="85"/>
    <n v="122"/>
    <n v="285"/>
    <n v="115"/>
    <n v="397"/>
    <n v="100"/>
    <n v="46"/>
    <n v="34"/>
    <n v="243"/>
    <n v="54"/>
  </r>
  <r>
    <x v="0"/>
    <x v="4"/>
    <x v="4"/>
    <x v="2"/>
    <n v="48"/>
    <n v="0.51"/>
    <n v="1.25"/>
    <n v="60"/>
    <n v="39.9"/>
    <n v="81"/>
    <n v="62"/>
    <n v="60"/>
    <n v="50"/>
    <n v="90"/>
    <n v="64"/>
    <n v="83"/>
    <n v="80"/>
    <n v="104"/>
    <n v="86"/>
    <n v="29"/>
    <n v="66"/>
    <n v="31"/>
    <n v="50"/>
    <n v="360"/>
    <n v="102"/>
    <n v="339"/>
    <n v="186"/>
    <n v="27"/>
    <n v="100"/>
    <n v="16"/>
    <n v="40"/>
    <n v="19"/>
  </r>
  <r>
    <x v="0"/>
    <x v="4"/>
    <x v="4"/>
    <x v="0"/>
    <n v="66"/>
    <n v="0.52"/>
    <n v="1.25"/>
    <n v="82.5"/>
    <n v="46.2"/>
    <n v="72"/>
    <n v="85"/>
    <n v="99"/>
    <n v="78"/>
    <n v="92"/>
    <n v="63"/>
    <n v="54"/>
    <n v="89"/>
    <n v="70"/>
    <n v="101"/>
    <n v="54"/>
    <n v="81"/>
    <n v="21"/>
    <n v="189"/>
    <n v="324"/>
    <n v="512"/>
    <n v="44"/>
    <n v="139"/>
    <n v="143"/>
    <n v="86"/>
    <n v="56"/>
    <n v="149"/>
    <n v="53"/>
  </r>
  <r>
    <x v="0"/>
    <x v="4"/>
    <x v="4"/>
    <x v="0"/>
    <n v="45"/>
    <n v="0.7"/>
    <n v="1.25"/>
    <n v="56.25"/>
    <n v="49.35"/>
    <n v="64"/>
    <n v="40"/>
    <n v="88"/>
    <n v="120"/>
    <n v="112"/>
    <n v="47"/>
    <n v="55"/>
    <n v="45"/>
    <n v="53"/>
    <n v="86"/>
    <n v="41"/>
    <n v="45"/>
    <n v="76"/>
    <n v="374"/>
    <n v="96"/>
    <n v="220"/>
    <n v="198"/>
    <n v="219"/>
    <n v="130"/>
    <n v="432"/>
    <n v="83"/>
    <n v="130"/>
    <n v="120"/>
  </r>
  <r>
    <x v="0"/>
    <x v="5"/>
    <x v="5"/>
    <x v="3"/>
    <n v="86"/>
    <n v="0.52"/>
    <n v="1.25"/>
    <n v="107.5"/>
    <n v="24.15"/>
    <n v="28"/>
    <n v="50"/>
    <n v="105"/>
    <n v="117"/>
    <n v="108"/>
    <n v="44"/>
    <n v="76"/>
    <n v="87"/>
    <n v="53"/>
    <n v="97"/>
    <n v="39"/>
    <n v="67"/>
    <n v="106"/>
    <n v="28"/>
    <n v="147"/>
    <n v="265"/>
    <n v="59"/>
    <n v="54"/>
    <n v="98"/>
    <n v="212"/>
    <n v="35"/>
    <n v="39"/>
    <n v="23"/>
  </r>
  <r>
    <x v="0"/>
    <x v="5"/>
    <x v="5"/>
    <x v="3"/>
    <n v="74"/>
    <n v="0.51"/>
    <n v="1.25"/>
    <n v="92.5"/>
    <n v="51.45"/>
    <n v="79"/>
    <n v="51"/>
    <n v="88"/>
    <n v="104"/>
    <n v="78"/>
    <n v="105"/>
    <n v="128"/>
    <n v="54"/>
    <n v="95"/>
    <n v="72"/>
    <n v="46"/>
    <n v="71"/>
    <n v="117"/>
    <n v="85"/>
    <n v="106"/>
    <n v="72"/>
    <n v="136"/>
    <n v="393"/>
    <n v="23"/>
    <n v="352"/>
    <n v="38"/>
    <n v="157"/>
    <n v="83"/>
  </r>
  <r>
    <x v="0"/>
    <x v="5"/>
    <x v="5"/>
    <x v="0"/>
    <n v="46"/>
    <n v="0.37"/>
    <n v="1.25"/>
    <n v="57.5"/>
    <n v="12.6"/>
    <n v="60"/>
    <n v="103"/>
    <n v="72"/>
    <n v="60"/>
    <n v="61"/>
    <n v="50"/>
    <n v="71"/>
    <n v="114"/>
    <n v="88"/>
    <n v="86"/>
    <n v="30"/>
    <n v="38"/>
    <n v="27"/>
    <n v="312"/>
    <n v="89"/>
    <n v="470"/>
    <n v="132"/>
    <n v="308"/>
    <n v="40"/>
    <n v="386"/>
    <n v="242"/>
    <n v="64"/>
    <n v="25"/>
  </r>
  <r>
    <x v="0"/>
    <x v="5"/>
    <x v="5"/>
    <x v="1"/>
    <n v="30"/>
    <n v="0.57999999999999996"/>
    <n v="1.25"/>
    <n v="37.5"/>
    <n v="12.6"/>
    <n v="70"/>
    <n v="39"/>
    <n v="40"/>
    <n v="140"/>
    <n v="49"/>
    <n v="47"/>
    <n v="115"/>
    <n v="50"/>
    <n v="55"/>
    <n v="39"/>
    <n v="26"/>
    <n v="97"/>
    <n v="70"/>
    <n v="354"/>
    <n v="222"/>
    <n v="562"/>
    <n v="337"/>
    <n v="101"/>
    <n v="35"/>
    <n v="194"/>
    <n v="21"/>
    <n v="119"/>
    <n v="8"/>
  </r>
  <r>
    <x v="0"/>
    <x v="6"/>
    <x v="6"/>
    <x v="2"/>
    <n v="102"/>
    <n v="0.76"/>
    <n v="1.25"/>
    <n v="127.5"/>
    <n v="28.35"/>
    <n v="39"/>
    <n v="79"/>
    <n v="71"/>
    <n v="131"/>
    <n v="101"/>
    <n v="128"/>
    <n v="46"/>
    <n v="101"/>
    <n v="75"/>
    <n v="87"/>
    <n v="41"/>
    <n v="73"/>
    <n v="120"/>
    <n v="206"/>
    <n v="144"/>
    <n v="195"/>
    <n v="39"/>
    <n v="76"/>
    <n v="57"/>
    <n v="188"/>
    <n v="364"/>
    <n v="21"/>
    <n v="118"/>
  </r>
  <r>
    <x v="0"/>
    <x v="6"/>
    <x v="6"/>
    <x v="2"/>
    <n v="102"/>
    <n v="0.6"/>
    <n v="1.0294117647058822"/>
    <n v="105"/>
    <n v="44.1"/>
    <n v="66"/>
    <n v="75"/>
    <n v="88"/>
    <n v="77"/>
    <n v="100"/>
    <n v="97"/>
    <n v="79"/>
    <n v="91"/>
    <n v="124"/>
    <n v="94"/>
    <n v="49"/>
    <n v="73"/>
    <n v="25"/>
    <n v="202"/>
    <n v="76"/>
    <n v="395"/>
    <n v="10"/>
    <n v="53"/>
    <n v="119"/>
    <n v="240"/>
    <n v="282"/>
    <n v="116"/>
    <n v="68"/>
  </r>
  <r>
    <x v="0"/>
    <x v="6"/>
    <x v="6"/>
    <x v="3"/>
    <n v="102"/>
    <n v="0.44"/>
    <n v="0.66176470588235292"/>
    <n v="67.5"/>
    <n v="56.7"/>
    <n v="37"/>
    <n v="86"/>
    <n v="101"/>
    <n v="113"/>
    <n v="55"/>
    <n v="92"/>
    <n v="134"/>
    <n v="74"/>
    <n v="133"/>
    <n v="74"/>
    <n v="68"/>
    <n v="96"/>
    <n v="125"/>
    <n v="319"/>
    <n v="80"/>
    <n v="172"/>
    <n v="108"/>
    <n v="122"/>
    <n v="86"/>
    <n v="152"/>
    <n v="25"/>
    <n v="220"/>
    <n v="165"/>
  </r>
  <r>
    <x v="0"/>
    <x v="6"/>
    <x v="6"/>
    <x v="3"/>
    <n v="102"/>
    <n v="0.79"/>
    <n v="1.2254901960784315"/>
    <n v="125"/>
    <n v="42"/>
    <n v="61"/>
    <n v="112"/>
    <n v="94"/>
    <n v="104"/>
    <n v="52"/>
    <n v="122"/>
    <n v="112"/>
    <n v="62"/>
    <n v="148"/>
    <n v="51"/>
    <n v="35"/>
    <n v="69"/>
    <n v="110"/>
    <n v="182"/>
    <n v="315"/>
    <n v="17"/>
    <n v="15"/>
    <n v="214"/>
    <n v="75"/>
    <n v="752"/>
    <n v="84"/>
    <n v="158"/>
    <n v="182"/>
  </r>
  <r>
    <x v="0"/>
    <x v="7"/>
    <x v="7"/>
    <x v="2"/>
    <n v="90"/>
    <n v="0.55000000000000004"/>
    <n v="1.25"/>
    <n v="112.5"/>
    <n v="55.65"/>
    <n v="80"/>
    <n v="89"/>
    <n v="44"/>
    <n v="113"/>
    <n v="44"/>
    <n v="45"/>
    <n v="134"/>
    <n v="110"/>
    <n v="126"/>
    <n v="52"/>
    <n v="46"/>
    <n v="88"/>
    <n v="38"/>
    <n v="232"/>
    <n v="40"/>
    <n v="192"/>
    <n v="30"/>
    <n v="241"/>
    <n v="263"/>
    <n v="452"/>
    <n v="95"/>
    <n v="62"/>
    <n v="53"/>
  </r>
  <r>
    <x v="0"/>
    <x v="7"/>
    <x v="7"/>
    <x v="1"/>
    <n v="98"/>
    <n v="0.34"/>
    <n v="1.25"/>
    <n v="122.5"/>
    <n v="43.05"/>
    <n v="58"/>
    <n v="65"/>
    <n v="53"/>
    <n v="134"/>
    <n v="93"/>
    <n v="125"/>
    <n v="125"/>
    <n v="63"/>
    <n v="142"/>
    <n v="53"/>
    <n v="56"/>
    <n v="91"/>
    <n v="68"/>
    <n v="85"/>
    <n v="138"/>
    <n v="110"/>
    <n v="39"/>
    <n v="140"/>
    <n v="135"/>
    <n v="594"/>
    <n v="76"/>
    <n v="164"/>
    <n v="31"/>
  </r>
  <r>
    <x v="0"/>
    <x v="7"/>
    <x v="7"/>
    <x v="2"/>
    <n v="89"/>
    <n v="0.3"/>
    <n v="1.25"/>
    <n v="111.25"/>
    <n v="33.6"/>
    <n v="50"/>
    <n v="97"/>
    <n v="97"/>
    <n v="110"/>
    <n v="102"/>
    <n v="122"/>
    <n v="115"/>
    <n v="123"/>
    <n v="87"/>
    <n v="50"/>
    <n v="58"/>
    <n v="94"/>
    <n v="112"/>
    <n v="104"/>
    <n v="116"/>
    <n v="730"/>
    <n v="334"/>
    <n v="44"/>
    <n v="86"/>
    <n v="124"/>
    <n v="162"/>
    <n v="184"/>
    <n v="23"/>
  </r>
  <r>
    <x v="0"/>
    <x v="7"/>
    <x v="7"/>
    <x v="2"/>
    <n v="75"/>
    <n v="0.71"/>
    <n v="1.25"/>
    <n v="93.75"/>
    <n v="32.549999999999997"/>
    <n v="47"/>
    <n v="63"/>
    <n v="80"/>
    <n v="121"/>
    <n v="60"/>
    <n v="124"/>
    <n v="98"/>
    <n v="85"/>
    <n v="79"/>
    <n v="38"/>
    <n v="50"/>
    <n v="94"/>
    <n v="102"/>
    <n v="39"/>
    <n v="205"/>
    <n v="197"/>
    <n v="49"/>
    <n v="150"/>
    <n v="276"/>
    <n v="422"/>
    <n v="56"/>
    <n v="205"/>
    <n v="9"/>
  </r>
  <r>
    <x v="0"/>
    <x v="8"/>
    <x v="8"/>
    <x v="2"/>
    <n v="72"/>
    <n v="0.43"/>
    <n v="1.25"/>
    <n v="90"/>
    <n v="29.4"/>
    <n v="78"/>
    <n v="85"/>
    <n v="78"/>
    <n v="83"/>
    <n v="54"/>
    <n v="86"/>
    <n v="60"/>
    <n v="62"/>
    <n v="57"/>
    <n v="71"/>
    <n v="64"/>
    <n v="46"/>
    <n v="96"/>
    <n v="417"/>
    <n v="28"/>
    <n v="275"/>
    <n v="359"/>
    <n v="192"/>
    <n v="149"/>
    <n v="50"/>
    <n v="200"/>
    <n v="9"/>
    <n v="20"/>
  </r>
  <r>
    <x v="0"/>
    <x v="8"/>
    <x v="8"/>
    <x v="0"/>
    <n v="52"/>
    <n v="0.54"/>
    <n v="1.25"/>
    <n v="65"/>
    <n v="58.8"/>
    <n v="51"/>
    <n v="107"/>
    <n v="66"/>
    <n v="96"/>
    <n v="85"/>
    <n v="78"/>
    <n v="124"/>
    <n v="60"/>
    <n v="59"/>
    <n v="79"/>
    <n v="30"/>
    <n v="70"/>
    <n v="36"/>
    <n v="136"/>
    <n v="315"/>
    <n v="725"/>
    <n v="80"/>
    <n v="199"/>
    <n v="90"/>
    <n v="320"/>
    <n v="44"/>
    <n v="207"/>
    <n v="11"/>
  </r>
  <r>
    <x v="0"/>
    <x v="8"/>
    <x v="8"/>
    <x v="0"/>
    <n v="56"/>
    <n v="0.51"/>
    <n v="1.25"/>
    <n v="70"/>
    <n v="58.8"/>
    <n v="29"/>
    <n v="88"/>
    <n v="39"/>
    <n v="119"/>
    <n v="90"/>
    <n v="70"/>
    <n v="56"/>
    <n v="61"/>
    <n v="130"/>
    <n v="43"/>
    <n v="55"/>
    <n v="97"/>
    <n v="96"/>
    <n v="343"/>
    <n v="284"/>
    <n v="190"/>
    <n v="120"/>
    <n v="288"/>
    <n v="48"/>
    <n v="148"/>
    <n v="98"/>
    <n v="131"/>
    <n v="60"/>
  </r>
  <r>
    <x v="0"/>
    <x v="8"/>
    <x v="8"/>
    <x v="2"/>
    <n v="40"/>
    <n v="0.79"/>
    <n v="1.25"/>
    <n v="50"/>
    <n v="30.45"/>
    <n v="63"/>
    <n v="99"/>
    <n v="35"/>
    <n v="85"/>
    <n v="71"/>
    <n v="67"/>
    <n v="62"/>
    <n v="126"/>
    <n v="122"/>
    <n v="50"/>
    <n v="60"/>
    <n v="75"/>
    <n v="52"/>
    <n v="417"/>
    <n v="141"/>
    <n v="840"/>
    <n v="187"/>
    <n v="100"/>
    <n v="86"/>
    <n v="44"/>
    <n v="56"/>
    <n v="160"/>
    <n v="50"/>
  </r>
  <r>
    <x v="0"/>
    <x v="9"/>
    <x v="9"/>
    <x v="0"/>
    <n v="74"/>
    <n v="0.69"/>
    <n v="1.25"/>
    <n v="92.5"/>
    <n v="29.4"/>
    <n v="67"/>
    <n v="99"/>
    <n v="40"/>
    <n v="80"/>
    <n v="93"/>
    <n v="111"/>
    <n v="134"/>
    <n v="111"/>
    <n v="126"/>
    <n v="60"/>
    <n v="60"/>
    <n v="56"/>
    <n v="134"/>
    <n v="172"/>
    <n v="54"/>
    <n v="937"/>
    <n v="98"/>
    <n v="211"/>
    <n v="215"/>
    <n v="44"/>
    <n v="68"/>
    <n v="21"/>
    <n v="25"/>
  </r>
  <r>
    <x v="0"/>
    <x v="9"/>
    <x v="9"/>
    <x v="3"/>
    <n v="22"/>
    <n v="0.46"/>
    <n v="1.25"/>
    <n v="27.5"/>
    <n v="56.7"/>
    <n v="36"/>
    <n v="77"/>
    <n v="90"/>
    <n v="90"/>
    <n v="39"/>
    <n v="68"/>
    <n v="90"/>
    <n v="106"/>
    <n v="68"/>
    <n v="69"/>
    <n v="53"/>
    <n v="77"/>
    <n v="78"/>
    <n v="159"/>
    <n v="4"/>
    <n v="295"/>
    <n v="129"/>
    <n v="18"/>
    <n v="130"/>
    <n v="60"/>
    <n v="328"/>
    <n v="20"/>
    <n v="96"/>
  </r>
  <r>
    <x v="0"/>
    <x v="9"/>
    <x v="9"/>
    <x v="3"/>
    <n v="92"/>
    <n v="0.61"/>
    <n v="1.25"/>
    <n v="115"/>
    <n v="47.25"/>
    <n v="48"/>
    <n v="104"/>
    <n v="88"/>
    <n v="135"/>
    <n v="74"/>
    <n v="104"/>
    <n v="57"/>
    <n v="112"/>
    <n v="122"/>
    <n v="58"/>
    <n v="43"/>
    <n v="80"/>
    <n v="63"/>
    <n v="128"/>
    <n v="66"/>
    <n v="115"/>
    <n v="180"/>
    <n v="183"/>
    <n v="183"/>
    <n v="440"/>
    <n v="98"/>
    <n v="158"/>
    <n v="47"/>
  </r>
  <r>
    <x v="0"/>
    <x v="9"/>
    <x v="9"/>
    <x v="2"/>
    <n v="92"/>
    <n v="0.77"/>
    <n v="1.25"/>
    <n v="115"/>
    <n v="17.850000000000001"/>
    <n v="47"/>
    <n v="112"/>
    <n v="68"/>
    <n v="72"/>
    <n v="41"/>
    <n v="110"/>
    <n v="69"/>
    <n v="54"/>
    <n v="79"/>
    <n v="98"/>
    <n v="65"/>
    <n v="46"/>
    <n v="45"/>
    <n v="338"/>
    <n v="264"/>
    <n v="577"/>
    <n v="43"/>
    <n v="52"/>
    <n v="63"/>
    <n v="288"/>
    <n v="44"/>
    <n v="130"/>
    <n v="105"/>
  </r>
  <r>
    <x v="0"/>
    <x v="10"/>
    <x v="10"/>
    <x v="0"/>
    <n v="87"/>
    <n v="0.53"/>
    <n v="1.25"/>
    <n v="108.75"/>
    <n v="37.799999999999997"/>
    <n v="81"/>
    <n v="39"/>
    <n v="97"/>
    <n v="88"/>
    <n v="105"/>
    <n v="89"/>
    <n v="95"/>
    <n v="75"/>
    <n v="124"/>
    <n v="78"/>
    <n v="28"/>
    <n v="44"/>
    <n v="121"/>
    <n v="35"/>
    <n v="66"/>
    <n v="415"/>
    <n v="72"/>
    <n v="115"/>
    <n v="83"/>
    <n v="408"/>
    <n v="303"/>
    <n v="136"/>
    <n v="12"/>
  </r>
  <r>
    <x v="0"/>
    <x v="10"/>
    <x v="10"/>
    <x v="1"/>
    <n v="40"/>
    <n v="0.67"/>
    <n v="1.25"/>
    <n v="50"/>
    <n v="57.75"/>
    <n v="55"/>
    <n v="45"/>
    <n v="53"/>
    <n v="114"/>
    <n v="107"/>
    <n v="69"/>
    <n v="66"/>
    <n v="59"/>
    <n v="81"/>
    <n v="70"/>
    <n v="57"/>
    <n v="67"/>
    <n v="98"/>
    <n v="10"/>
    <n v="234"/>
    <n v="697"/>
    <n v="182"/>
    <n v="278"/>
    <n v="123"/>
    <n v="114"/>
    <n v="92"/>
    <n v="152"/>
    <n v="84"/>
  </r>
  <r>
    <x v="0"/>
    <x v="10"/>
    <x v="10"/>
    <x v="2"/>
    <n v="71"/>
    <n v="0.47"/>
    <n v="1.25"/>
    <n v="88.75"/>
    <n v="25.2"/>
    <n v="57"/>
    <n v="94"/>
    <n v="63"/>
    <n v="143"/>
    <n v="83"/>
    <n v="74"/>
    <n v="47"/>
    <n v="58"/>
    <n v="137"/>
    <n v="94"/>
    <n v="37"/>
    <n v="74"/>
    <n v="21"/>
    <n v="97"/>
    <n v="133"/>
    <n v="255"/>
    <n v="62"/>
    <n v="67"/>
    <n v="58"/>
    <n v="700"/>
    <n v="232"/>
    <n v="106"/>
    <n v="165"/>
  </r>
  <r>
    <x v="0"/>
    <x v="10"/>
    <x v="10"/>
    <x v="2"/>
    <n v="34"/>
    <n v="0.73"/>
    <n v="1.25"/>
    <n v="42.5"/>
    <n v="34.65"/>
    <n v="29"/>
    <n v="94"/>
    <n v="36"/>
    <n v="105"/>
    <n v="65"/>
    <n v="68"/>
    <n v="52"/>
    <n v="94"/>
    <n v="140"/>
    <n v="71"/>
    <n v="74"/>
    <n v="72"/>
    <n v="60"/>
    <n v="176"/>
    <n v="222"/>
    <n v="472"/>
    <n v="23"/>
    <n v="29"/>
    <n v="61"/>
    <n v="410"/>
    <n v="263"/>
    <n v="135"/>
    <n v="62"/>
  </r>
  <r>
    <x v="0"/>
    <x v="11"/>
    <x v="11"/>
    <x v="0"/>
    <n v="90"/>
    <n v="0.57999999999999996"/>
    <n v="1.25"/>
    <n v="112.5"/>
    <n v="12.6"/>
    <n v="61"/>
    <n v="79"/>
    <n v="94"/>
    <n v="77"/>
    <n v="50"/>
    <n v="110"/>
    <n v="106"/>
    <n v="119"/>
    <n v="148"/>
    <n v="50"/>
    <n v="53"/>
    <n v="72"/>
    <n v="82"/>
    <n v="283"/>
    <n v="37"/>
    <n v="265"/>
    <n v="190"/>
    <n v="88"/>
    <n v="125"/>
    <n v="344"/>
    <n v="138"/>
    <n v="13"/>
    <n v="47"/>
  </r>
  <r>
    <x v="0"/>
    <x v="11"/>
    <x v="11"/>
    <x v="3"/>
    <n v="101"/>
    <n v="0.59"/>
    <n v="1.25"/>
    <n v="126.25"/>
    <n v="18.899999999999999"/>
    <n v="57"/>
    <n v="84"/>
    <n v="85"/>
    <n v="138"/>
    <n v="111"/>
    <n v="44"/>
    <n v="133"/>
    <n v="120"/>
    <n v="111"/>
    <n v="84"/>
    <n v="74"/>
    <n v="53"/>
    <n v="115"/>
    <n v="235"/>
    <n v="191"/>
    <n v="220"/>
    <n v="338"/>
    <n v="75"/>
    <n v="133"/>
    <n v="128"/>
    <n v="6"/>
    <n v="151"/>
    <n v="68"/>
  </r>
  <r>
    <x v="0"/>
    <x v="11"/>
    <x v="11"/>
    <x v="2"/>
    <n v="58"/>
    <n v="0.3"/>
    <n v="1.25"/>
    <n v="72.5"/>
    <n v="57.75"/>
    <n v="59"/>
    <n v="73"/>
    <n v="96"/>
    <n v="135"/>
    <n v="71"/>
    <n v="116"/>
    <n v="113"/>
    <n v="70"/>
    <n v="144"/>
    <n v="86"/>
    <n v="71"/>
    <n v="37"/>
    <n v="97"/>
    <n v="63"/>
    <n v="17"/>
    <n v="592"/>
    <n v="194"/>
    <n v="145"/>
    <n v="234"/>
    <n v="24"/>
    <n v="63"/>
    <n v="154"/>
    <n v="60"/>
  </r>
  <r>
    <x v="0"/>
    <x v="11"/>
    <x v="11"/>
    <x v="1"/>
    <n v="51"/>
    <n v="0.35"/>
    <n v="1.25"/>
    <n v="63.75"/>
    <n v="17.850000000000001"/>
    <n v="66"/>
    <n v="69"/>
    <n v="48"/>
    <n v="80"/>
    <n v="41"/>
    <n v="126"/>
    <n v="111"/>
    <n v="83"/>
    <n v="114"/>
    <n v="94"/>
    <n v="72"/>
    <n v="33"/>
    <n v="66"/>
    <n v="119"/>
    <n v="47"/>
    <n v="492"/>
    <n v="16"/>
    <n v="337"/>
    <n v="55"/>
    <n v="270"/>
    <n v="63"/>
    <n v="74"/>
    <n v="174"/>
  </r>
  <r>
    <x v="1"/>
    <x v="0"/>
    <x v="0"/>
    <x v="2"/>
    <n v="29"/>
    <n v="0.51"/>
    <n v="2.8448275862068964"/>
    <n v="82.5"/>
    <n v="16.8"/>
    <n v="68"/>
    <n v="131"/>
    <n v="32"/>
    <n v="120"/>
    <n v="37"/>
    <n v="39"/>
    <n v="66"/>
    <n v="50"/>
    <n v="134"/>
    <n v="62"/>
    <n v="94"/>
    <n v="112"/>
    <n v="75"/>
    <n v="352"/>
    <n v="103"/>
    <n v="325"/>
    <n v="286"/>
    <n v="374"/>
    <n v="7"/>
    <n v="26"/>
    <n v="12"/>
    <n v="111"/>
    <n v="345"/>
  </r>
  <r>
    <x v="1"/>
    <x v="0"/>
    <x v="0"/>
    <x v="2"/>
    <n v="65"/>
    <n v="0.4"/>
    <n v="1.1730769230769231"/>
    <n v="76.25"/>
    <n v="27.3"/>
    <n v="138"/>
    <n v="37"/>
    <n v="39"/>
    <n v="82"/>
    <n v="51"/>
    <n v="65"/>
    <n v="96"/>
    <n v="63"/>
    <n v="62"/>
    <n v="44"/>
    <n v="65"/>
    <n v="54"/>
    <n v="36"/>
    <n v="52"/>
    <n v="358"/>
    <n v="454"/>
    <n v="33"/>
    <n v="354"/>
    <n v="225"/>
    <n v="30"/>
    <n v="23"/>
    <n v="382"/>
    <n v="68"/>
  </r>
  <r>
    <x v="1"/>
    <x v="0"/>
    <x v="0"/>
    <x v="0"/>
    <n v="36"/>
    <n v="0.29000000000000004"/>
    <n v="1.0763888888888888"/>
    <n v="38.75"/>
    <n v="25.2"/>
    <n v="90"/>
    <n v="103"/>
    <n v="50"/>
    <n v="50"/>
    <n v="76"/>
    <n v="35"/>
    <n v="36"/>
    <n v="49"/>
    <n v="54"/>
    <n v="73"/>
    <n v="71"/>
    <n v="77"/>
    <n v="90"/>
    <n v="106"/>
    <n v="216"/>
    <n v="420"/>
    <n v="45"/>
    <n v="197"/>
    <n v="139"/>
    <n v="73"/>
    <n v="232"/>
    <n v="165"/>
    <n v="178"/>
  </r>
  <r>
    <x v="1"/>
    <x v="0"/>
    <x v="0"/>
    <x v="1"/>
    <n v="51"/>
    <n v="0.28000000000000003"/>
    <n v="2.5245098039215685"/>
    <n v="128.75"/>
    <n v="10.5"/>
    <n v="140"/>
    <n v="57"/>
    <n v="81"/>
    <n v="92"/>
    <n v="91"/>
    <n v="97"/>
    <n v="55"/>
    <n v="115"/>
    <n v="59"/>
    <n v="74"/>
    <n v="45"/>
    <n v="81"/>
    <n v="77"/>
    <n v="286"/>
    <n v="90"/>
    <n v="191"/>
    <n v="246"/>
    <n v="237"/>
    <n v="146"/>
    <n v="210"/>
    <n v="119"/>
    <n v="98"/>
    <n v="189"/>
  </r>
  <r>
    <x v="1"/>
    <x v="1"/>
    <x v="1"/>
    <x v="0"/>
    <n v="27"/>
    <n v="0.46000000000000008"/>
    <n v="5.6481481481481479"/>
    <n v="152.5"/>
    <n v="48.3"/>
    <n v="69"/>
    <n v="117"/>
    <n v="96"/>
    <n v="35"/>
    <n v="67"/>
    <n v="43"/>
    <n v="58"/>
    <n v="71"/>
    <n v="84"/>
    <n v="87"/>
    <n v="106"/>
    <n v="60"/>
    <n v="40"/>
    <n v="101"/>
    <n v="39"/>
    <n v="40"/>
    <n v="13"/>
    <n v="18"/>
    <n v="152"/>
    <n v="62"/>
    <n v="122"/>
    <n v="134"/>
    <n v="10"/>
  </r>
  <r>
    <x v="1"/>
    <x v="1"/>
    <x v="1"/>
    <x v="1"/>
    <n v="94"/>
    <n v="0.54"/>
    <n v="0.81117021276595747"/>
    <n v="76.25"/>
    <n v="48.3"/>
    <n v="98"/>
    <n v="118"/>
    <n v="70"/>
    <n v="54"/>
    <n v="43"/>
    <n v="49"/>
    <n v="138"/>
    <n v="77"/>
    <n v="78"/>
    <n v="89"/>
    <n v="40"/>
    <n v="56"/>
    <n v="82"/>
    <n v="178"/>
    <n v="151"/>
    <n v="184"/>
    <n v="125"/>
    <n v="146"/>
    <n v="85"/>
    <n v="468"/>
    <n v="31"/>
    <n v="48"/>
    <n v="93"/>
  </r>
  <r>
    <x v="1"/>
    <x v="1"/>
    <x v="1"/>
    <x v="2"/>
    <n v="96"/>
    <n v="0.49"/>
    <n v="0.52083333333333337"/>
    <n v="50"/>
    <n v="32.549999999999997"/>
    <n v="54"/>
    <n v="89"/>
    <n v="79"/>
    <n v="90"/>
    <n v="113"/>
    <n v="114"/>
    <n v="71"/>
    <n v="37"/>
    <n v="39"/>
    <n v="108"/>
    <n v="83"/>
    <n v="135"/>
    <n v="97"/>
    <n v="197"/>
    <n v="261"/>
    <n v="114"/>
    <n v="89"/>
    <n v="484"/>
    <n v="200"/>
    <n v="216"/>
    <n v="35"/>
    <n v="128"/>
    <n v="81"/>
  </r>
  <r>
    <x v="1"/>
    <x v="1"/>
    <x v="1"/>
    <x v="3"/>
    <n v="44"/>
    <n v="0.41000000000000003"/>
    <n v="1.6761363636363635"/>
    <n v="73.75"/>
    <n v="39.9"/>
    <n v="125"/>
    <n v="98"/>
    <n v="123"/>
    <n v="60"/>
    <n v="100"/>
    <n v="45"/>
    <n v="59"/>
    <n v="79"/>
    <n v="61"/>
    <n v="65"/>
    <n v="42"/>
    <n v="49"/>
    <n v="55"/>
    <n v="210"/>
    <n v="3"/>
    <n v="302"/>
    <n v="16"/>
    <n v="82"/>
    <n v="52"/>
    <n v="137"/>
    <n v="274"/>
    <n v="340"/>
    <n v="173"/>
  </r>
  <r>
    <x v="1"/>
    <x v="2"/>
    <x v="2"/>
    <x v="1"/>
    <n v="109"/>
    <n v="0.54"/>
    <n v="0.98623853211009171"/>
    <n v="107.5"/>
    <n v="12.6"/>
    <n v="42"/>
    <n v="98"/>
    <n v="53"/>
    <n v="47"/>
    <n v="102"/>
    <n v="102"/>
    <n v="84"/>
    <n v="108"/>
    <n v="96"/>
    <n v="113"/>
    <n v="87"/>
    <n v="35"/>
    <n v="105"/>
    <n v="68"/>
    <n v="340"/>
    <n v="138"/>
    <n v="456"/>
    <n v="97"/>
    <n v="31"/>
    <n v="23"/>
    <n v="46"/>
    <n v="75"/>
    <n v="349"/>
  </r>
  <r>
    <x v="1"/>
    <x v="2"/>
    <x v="2"/>
    <x v="3"/>
    <n v="29"/>
    <n v="0.48"/>
    <n v="3.7931034482758621"/>
    <n v="110"/>
    <n v="19.95"/>
    <n v="70"/>
    <n v="77"/>
    <n v="97"/>
    <n v="52"/>
    <n v="43"/>
    <n v="141"/>
    <n v="71"/>
    <n v="25"/>
    <n v="113"/>
    <n v="80"/>
    <n v="75"/>
    <n v="30"/>
    <n v="66"/>
    <n v="156"/>
    <n v="467"/>
    <n v="15"/>
    <n v="354"/>
    <n v="71"/>
    <n v="40"/>
    <n v="43"/>
    <n v="67"/>
    <n v="163"/>
    <n v="57"/>
  </r>
  <r>
    <x v="1"/>
    <x v="2"/>
    <x v="2"/>
    <x v="0"/>
    <n v="28"/>
    <n v="0.24999999999999997"/>
    <n v="5.5357142857142856"/>
    <n v="155"/>
    <n v="24.15"/>
    <n v="86"/>
    <n v="82"/>
    <n v="101"/>
    <n v="68"/>
    <n v="131"/>
    <n v="61"/>
    <n v="80"/>
    <n v="39"/>
    <n v="91"/>
    <n v="35"/>
    <n v="40"/>
    <n v="98"/>
    <n v="47"/>
    <n v="179"/>
    <n v="65"/>
    <n v="196"/>
    <n v="371"/>
    <n v="526"/>
    <n v="221"/>
    <n v="25"/>
    <n v="345"/>
    <n v="61"/>
    <n v="282"/>
  </r>
  <r>
    <x v="1"/>
    <x v="2"/>
    <x v="2"/>
    <x v="2"/>
    <n v="125"/>
    <n v="0.49"/>
    <n v="1.01"/>
    <n v="126.25"/>
    <n v="38.85"/>
    <n v="102"/>
    <n v="52"/>
    <n v="76"/>
    <n v="56"/>
    <n v="75"/>
    <n v="63"/>
    <n v="86"/>
    <n v="67"/>
    <n v="67"/>
    <n v="77"/>
    <n v="43"/>
    <n v="73"/>
    <n v="37"/>
    <n v="5"/>
    <n v="188"/>
    <n v="157"/>
    <n v="61"/>
    <n v="148"/>
    <n v="270"/>
    <n v="113"/>
    <n v="151"/>
    <n v="152"/>
    <n v="368"/>
  </r>
  <r>
    <x v="1"/>
    <x v="3"/>
    <x v="3"/>
    <x v="0"/>
    <n v="28"/>
    <n v="0.41000000000000003"/>
    <n v="1.5178571428571428"/>
    <n v="42.5"/>
    <n v="59.85"/>
    <n v="124"/>
    <n v="31"/>
    <n v="121"/>
    <n v="36"/>
    <n v="118"/>
    <n v="108"/>
    <n v="53"/>
    <n v="37"/>
    <n v="77"/>
    <n v="36"/>
    <n v="133"/>
    <n v="79"/>
    <n v="117"/>
    <n v="429"/>
    <n v="241"/>
    <n v="60"/>
    <n v="422"/>
    <n v="28"/>
    <n v="50"/>
    <n v="117"/>
    <n v="39"/>
    <n v="20"/>
    <n v="78"/>
  </r>
  <r>
    <x v="1"/>
    <x v="3"/>
    <x v="3"/>
    <x v="0"/>
    <n v="98"/>
    <n v="0.38"/>
    <n v="1.1096938775510203"/>
    <n v="108.75"/>
    <n v="57.75"/>
    <n v="53"/>
    <n v="55"/>
    <n v="48"/>
    <n v="69"/>
    <n v="102"/>
    <n v="127"/>
    <n v="47"/>
    <n v="62"/>
    <n v="84"/>
    <n v="75"/>
    <n v="63"/>
    <n v="56"/>
    <n v="58"/>
    <n v="229"/>
    <n v="197"/>
    <n v="69"/>
    <n v="225"/>
    <n v="57"/>
    <n v="338"/>
    <n v="212"/>
    <n v="25"/>
    <n v="63"/>
    <n v="36"/>
  </r>
  <r>
    <x v="1"/>
    <x v="3"/>
    <x v="3"/>
    <x v="2"/>
    <n v="55"/>
    <n v="0.19999999999999998"/>
    <n v="0.65909090909090906"/>
    <n v="36.25"/>
    <n v="19.95"/>
    <n v="105"/>
    <n v="118"/>
    <n v="87"/>
    <n v="45"/>
    <n v="54"/>
    <n v="94"/>
    <n v="47"/>
    <n v="101"/>
    <n v="56"/>
    <n v="80"/>
    <n v="47"/>
    <n v="103"/>
    <n v="82"/>
    <n v="67"/>
    <n v="135"/>
    <n v="291"/>
    <n v="21"/>
    <n v="28"/>
    <n v="542"/>
    <n v="22"/>
    <n v="53"/>
    <n v="168"/>
    <n v="168"/>
  </r>
  <r>
    <x v="1"/>
    <x v="3"/>
    <x v="3"/>
    <x v="3"/>
    <n v="42"/>
    <n v="0.46000000000000008"/>
    <n v="3.6607142857142856"/>
    <n v="153.75"/>
    <n v="46.2"/>
    <n v="36"/>
    <n v="102"/>
    <n v="37"/>
    <n v="99"/>
    <n v="126"/>
    <n v="74"/>
    <n v="102"/>
    <n v="52"/>
    <n v="47"/>
    <n v="47"/>
    <n v="102"/>
    <n v="81"/>
    <n v="92"/>
    <n v="230"/>
    <n v="100"/>
    <n v="85"/>
    <n v="26"/>
    <n v="42"/>
    <n v="93"/>
    <n v="130"/>
    <n v="56"/>
    <n v="203"/>
    <n v="245"/>
  </r>
  <r>
    <x v="1"/>
    <x v="4"/>
    <x v="4"/>
    <x v="2"/>
    <n v="72"/>
    <n v="0.5"/>
    <n v="0.46875"/>
    <n v="33.75"/>
    <n v="50.4"/>
    <n v="110"/>
    <n v="52"/>
    <n v="29"/>
    <n v="95"/>
    <n v="122"/>
    <n v="67"/>
    <n v="63"/>
    <n v="64"/>
    <n v="61"/>
    <n v="38"/>
    <n v="58"/>
    <n v="107"/>
    <n v="110"/>
    <n v="43"/>
    <n v="355"/>
    <n v="57"/>
    <n v="176"/>
    <n v="148"/>
    <n v="35"/>
    <n v="38"/>
    <n v="32"/>
    <n v="175"/>
    <n v="154"/>
  </r>
  <r>
    <x v="1"/>
    <x v="4"/>
    <x v="4"/>
    <x v="3"/>
    <n v="31"/>
    <n v="0.48"/>
    <n v="4.435483870967742"/>
    <n v="137.5"/>
    <n v="57.75"/>
    <n v="56"/>
    <n v="63"/>
    <n v="117"/>
    <n v="114"/>
    <n v="32"/>
    <n v="116"/>
    <n v="36"/>
    <n v="126"/>
    <n v="61"/>
    <n v="60"/>
    <n v="46"/>
    <n v="73"/>
    <n v="68"/>
    <n v="65"/>
    <n v="435"/>
    <n v="80"/>
    <n v="566"/>
    <n v="15"/>
    <n v="21"/>
    <n v="259"/>
    <n v="317"/>
    <n v="367"/>
    <n v="334"/>
  </r>
  <r>
    <x v="1"/>
    <x v="4"/>
    <x v="4"/>
    <x v="1"/>
    <n v="65"/>
    <n v="0.64"/>
    <n v="2.3076923076923075"/>
    <n v="150"/>
    <n v="19.95"/>
    <n v="93"/>
    <n v="55"/>
    <n v="86"/>
    <n v="94"/>
    <n v="83"/>
    <n v="96"/>
    <n v="71"/>
    <n v="77"/>
    <n v="51"/>
    <n v="71"/>
    <n v="57"/>
    <n v="127"/>
    <n v="94"/>
    <n v="44"/>
    <n v="62"/>
    <n v="86"/>
    <n v="222"/>
    <n v="43"/>
    <n v="40"/>
    <n v="112"/>
    <n v="57"/>
    <n v="372"/>
    <n v="116"/>
  </r>
  <r>
    <x v="1"/>
    <x v="4"/>
    <x v="4"/>
    <x v="1"/>
    <n v="28"/>
    <n v="0.46000000000000008"/>
    <n v="5.625"/>
    <n v="157.5"/>
    <n v="10.5"/>
    <n v="99"/>
    <n v="54"/>
    <n v="34"/>
    <n v="57"/>
    <n v="41"/>
    <n v="27"/>
    <n v="58"/>
    <n v="77"/>
    <n v="39"/>
    <n v="60"/>
    <n v="61"/>
    <n v="117"/>
    <n v="120"/>
    <n v="184"/>
    <n v="305"/>
    <n v="420"/>
    <n v="93"/>
    <n v="163"/>
    <n v="25"/>
    <n v="240"/>
    <n v="132"/>
    <n v="83"/>
    <n v="145"/>
  </r>
  <r>
    <x v="1"/>
    <x v="5"/>
    <x v="5"/>
    <x v="2"/>
    <n v="126"/>
    <n v="0.57000000000000006"/>
    <n v="1.1805555555555556"/>
    <n v="148.75"/>
    <n v="35.700000000000003"/>
    <n v="89"/>
    <n v="73"/>
    <n v="95"/>
    <n v="95"/>
    <n v="99"/>
    <n v="124"/>
    <n v="50"/>
    <n v="80"/>
    <n v="64"/>
    <n v="107"/>
    <n v="79"/>
    <n v="65"/>
    <n v="34"/>
    <n v="566"/>
    <n v="637"/>
    <n v="35"/>
    <n v="112"/>
    <n v="93"/>
    <n v="102"/>
    <n v="120"/>
    <n v="138"/>
    <n v="136"/>
    <n v="46"/>
  </r>
  <r>
    <x v="1"/>
    <x v="5"/>
    <x v="5"/>
    <x v="2"/>
    <n v="61"/>
    <n v="0.66"/>
    <n v="1.5778688524590163"/>
    <n v="96.25"/>
    <n v="58.8"/>
    <n v="71"/>
    <n v="99"/>
    <n v="68"/>
    <n v="57"/>
    <n v="60"/>
    <n v="89"/>
    <n v="94"/>
    <n v="45"/>
    <n v="136"/>
    <n v="71"/>
    <n v="77"/>
    <n v="70"/>
    <n v="111"/>
    <n v="232"/>
    <n v="126"/>
    <n v="79"/>
    <n v="342"/>
    <n v="5"/>
    <n v="114"/>
    <n v="132"/>
    <n v="5"/>
    <n v="105"/>
    <n v="64"/>
  </r>
  <r>
    <x v="1"/>
    <x v="5"/>
    <x v="5"/>
    <x v="1"/>
    <n v="113"/>
    <n v="0.23"/>
    <n v="1.2831858407079646"/>
    <n v="145"/>
    <n v="19.95"/>
    <n v="96"/>
    <n v="103"/>
    <n v="91"/>
    <n v="125"/>
    <n v="61"/>
    <n v="136"/>
    <n v="53"/>
    <n v="58"/>
    <n v="115"/>
    <n v="62"/>
    <n v="73"/>
    <n v="49"/>
    <n v="125"/>
    <n v="75"/>
    <n v="16"/>
    <n v="100"/>
    <n v="142"/>
    <n v="91"/>
    <n v="134"/>
    <n v="267"/>
    <n v="314"/>
    <n v="22"/>
    <n v="72"/>
  </r>
  <r>
    <x v="1"/>
    <x v="5"/>
    <x v="5"/>
    <x v="2"/>
    <n v="117"/>
    <n v="0.64"/>
    <n v="0.49145299145299143"/>
    <n v="57.5"/>
    <n v="23.1"/>
    <n v="103"/>
    <n v="40"/>
    <n v="109"/>
    <n v="64"/>
    <n v="94"/>
    <n v="54"/>
    <n v="80"/>
    <n v="93"/>
    <n v="44"/>
    <n v="73"/>
    <n v="119"/>
    <n v="44"/>
    <n v="50"/>
    <n v="19"/>
    <n v="273"/>
    <n v="43"/>
    <n v="116"/>
    <n v="80"/>
    <n v="225"/>
    <n v="160"/>
    <n v="114"/>
    <n v="146"/>
    <n v="33"/>
  </r>
  <r>
    <x v="1"/>
    <x v="6"/>
    <x v="6"/>
    <x v="0"/>
    <n v="46"/>
    <n v="0.24999999999999997"/>
    <n v="3.1793478260869565"/>
    <n v="146.25"/>
    <n v="46.2"/>
    <n v="60"/>
    <n v="44"/>
    <n v="97"/>
    <n v="131"/>
    <n v="65"/>
    <n v="96"/>
    <n v="72"/>
    <n v="55"/>
    <n v="48"/>
    <n v="115"/>
    <n v="80"/>
    <n v="60"/>
    <n v="98"/>
    <n v="72"/>
    <n v="95"/>
    <n v="162"/>
    <n v="51"/>
    <n v="231"/>
    <n v="128"/>
    <n v="44"/>
    <n v="48"/>
    <n v="172"/>
    <n v="120"/>
  </r>
  <r>
    <x v="1"/>
    <x v="6"/>
    <x v="6"/>
    <x v="0"/>
    <n v="116"/>
    <n v="0.46000000000000008"/>
    <n v="1.2176724137931034"/>
    <n v="141.25"/>
    <n v="24.15"/>
    <n v="55"/>
    <n v="58"/>
    <n v="92"/>
    <n v="79"/>
    <n v="84"/>
    <n v="45"/>
    <n v="147"/>
    <n v="63"/>
    <n v="46"/>
    <n v="79"/>
    <n v="69"/>
    <n v="83"/>
    <n v="66"/>
    <n v="50"/>
    <n v="143"/>
    <n v="234"/>
    <n v="144"/>
    <n v="44"/>
    <n v="170"/>
    <n v="210"/>
    <n v="38"/>
    <n v="255"/>
    <n v="27"/>
  </r>
  <r>
    <x v="1"/>
    <x v="6"/>
    <x v="6"/>
    <x v="2"/>
    <n v="77"/>
    <n v="0.5"/>
    <n v="0.99025974025974028"/>
    <n v="76.25"/>
    <n v="61.95"/>
    <n v="51"/>
    <n v="42"/>
    <n v="35"/>
    <n v="96"/>
    <n v="54"/>
    <n v="41"/>
    <n v="63"/>
    <n v="121"/>
    <n v="44"/>
    <n v="54"/>
    <n v="79"/>
    <n v="60"/>
    <n v="27"/>
    <n v="111"/>
    <n v="39"/>
    <n v="40"/>
    <n v="285"/>
    <n v="180"/>
    <n v="165"/>
    <n v="377"/>
    <n v="42"/>
    <n v="76"/>
    <n v="63"/>
  </r>
  <r>
    <x v="1"/>
    <x v="6"/>
    <x v="6"/>
    <x v="3"/>
    <n v="119"/>
    <n v="0.52"/>
    <n v="1.3235294117647058"/>
    <n v="157.5"/>
    <n v="51.45"/>
    <n v="40"/>
    <n v="69"/>
    <n v="93"/>
    <n v="134"/>
    <n v="107"/>
    <n v="46"/>
    <n v="38"/>
    <n v="113"/>
    <n v="54"/>
    <n v="42"/>
    <n v="133"/>
    <n v="49"/>
    <n v="86"/>
    <n v="60"/>
    <n v="231"/>
    <n v="210"/>
    <n v="44"/>
    <n v="84"/>
    <n v="237"/>
    <n v="76"/>
    <n v="11"/>
    <n v="110"/>
    <n v="122"/>
  </r>
  <r>
    <x v="1"/>
    <x v="7"/>
    <x v="7"/>
    <x v="2"/>
    <n v="126"/>
    <n v="0.48"/>
    <n v="0.27777777777777779"/>
    <n v="35"/>
    <n v="43.05"/>
    <n v="89"/>
    <n v="76"/>
    <n v="25"/>
    <n v="70"/>
    <n v="103"/>
    <n v="71"/>
    <n v="136"/>
    <n v="83"/>
    <n v="41"/>
    <n v="76"/>
    <n v="86"/>
    <n v="82"/>
    <n v="105"/>
    <n v="103"/>
    <n v="154"/>
    <n v="92"/>
    <n v="83"/>
    <n v="208"/>
    <n v="360"/>
    <n v="140"/>
    <n v="427"/>
    <n v="396"/>
    <n v="281"/>
  </r>
  <r>
    <x v="1"/>
    <x v="7"/>
    <x v="7"/>
    <x v="0"/>
    <n v="120"/>
    <n v="0.46000000000000008"/>
    <n v="0.67708333333333337"/>
    <n v="81.25"/>
    <n v="38.85"/>
    <n v="69"/>
    <n v="65"/>
    <n v="57"/>
    <n v="42"/>
    <n v="71"/>
    <n v="70"/>
    <n v="42"/>
    <n v="27"/>
    <n v="141"/>
    <n v="134"/>
    <n v="48"/>
    <n v="74"/>
    <n v="17"/>
    <n v="59"/>
    <n v="132"/>
    <n v="372"/>
    <n v="83"/>
    <n v="75"/>
    <n v="250"/>
    <n v="145"/>
    <n v="355"/>
    <n v="292"/>
    <n v="448"/>
  </r>
  <r>
    <x v="1"/>
    <x v="7"/>
    <x v="7"/>
    <x v="0"/>
    <n v="110"/>
    <n v="0.58000000000000007"/>
    <n v="0.35227272727272729"/>
    <n v="38.75"/>
    <n v="25.2"/>
    <n v="41"/>
    <n v="49"/>
    <n v="60"/>
    <n v="57"/>
    <n v="38"/>
    <n v="51"/>
    <n v="36"/>
    <n v="97"/>
    <n v="98"/>
    <n v="71"/>
    <n v="77"/>
    <n v="82"/>
    <n v="74"/>
    <n v="672"/>
    <n v="16"/>
    <n v="177"/>
    <n v="110"/>
    <n v="180"/>
    <n v="161"/>
    <n v="188"/>
    <n v="198"/>
    <n v="54"/>
    <n v="136"/>
  </r>
  <r>
    <x v="1"/>
    <x v="7"/>
    <x v="7"/>
    <x v="2"/>
    <n v="27"/>
    <n v="0.26"/>
    <n v="3.3333333333333335"/>
    <n v="90"/>
    <n v="27.3"/>
    <n v="48"/>
    <n v="49"/>
    <n v="62"/>
    <n v="93"/>
    <n v="69"/>
    <n v="63"/>
    <n v="112"/>
    <n v="51"/>
    <n v="74"/>
    <n v="74"/>
    <n v="74"/>
    <n v="75"/>
    <n v="63"/>
    <n v="46"/>
    <n v="55"/>
    <n v="147"/>
    <n v="94"/>
    <n v="140"/>
    <n v="65"/>
    <n v="107"/>
    <n v="16"/>
    <n v="139"/>
    <n v="660"/>
  </r>
  <r>
    <x v="1"/>
    <x v="8"/>
    <x v="8"/>
    <x v="2"/>
    <n v="123"/>
    <n v="0.41000000000000003"/>
    <n v="0.42682926829268292"/>
    <n v="52.5"/>
    <n v="21"/>
    <n v="78"/>
    <n v="42"/>
    <n v="60"/>
    <n v="92"/>
    <n v="99"/>
    <n v="82"/>
    <n v="75"/>
    <n v="120"/>
    <n v="59"/>
    <n v="126"/>
    <n v="65"/>
    <n v="53"/>
    <n v="101"/>
    <n v="83"/>
    <n v="156"/>
    <n v="131"/>
    <n v="93"/>
    <n v="133"/>
    <n v="40"/>
    <n v="85"/>
    <n v="197"/>
    <n v="187"/>
    <n v="200"/>
  </r>
  <r>
    <x v="1"/>
    <x v="8"/>
    <x v="8"/>
    <x v="1"/>
    <n v="29"/>
    <n v="0.6"/>
    <n v="2.3706896551724137"/>
    <n v="68.75"/>
    <n v="55.65"/>
    <n v="85"/>
    <n v="44"/>
    <n v="91"/>
    <n v="88"/>
    <n v="69"/>
    <n v="35"/>
    <n v="138"/>
    <n v="81"/>
    <n v="111"/>
    <n v="92"/>
    <n v="119"/>
    <n v="102"/>
    <n v="121"/>
    <n v="9"/>
    <n v="232"/>
    <n v="38"/>
    <n v="220"/>
    <n v="290"/>
    <n v="9"/>
    <n v="412"/>
    <n v="173"/>
    <n v="97"/>
    <n v="133"/>
  </r>
  <r>
    <x v="1"/>
    <x v="8"/>
    <x v="8"/>
    <x v="3"/>
    <n v="87"/>
    <n v="0.41000000000000003"/>
    <n v="1.4080459770114941"/>
    <n v="122.5"/>
    <n v="27.3"/>
    <n v="90"/>
    <n v="87"/>
    <n v="126"/>
    <n v="125"/>
    <n v="100"/>
    <n v="52"/>
    <n v="59"/>
    <n v="78"/>
    <n v="72"/>
    <n v="60"/>
    <n v="52"/>
    <n v="76"/>
    <n v="93"/>
    <n v="206"/>
    <n v="49"/>
    <n v="88"/>
    <n v="208"/>
    <n v="14"/>
    <n v="10"/>
    <n v="33"/>
    <n v="31"/>
    <n v="947"/>
    <n v="316"/>
  </r>
  <r>
    <x v="1"/>
    <x v="8"/>
    <x v="8"/>
    <x v="0"/>
    <n v="34"/>
    <n v="0.59"/>
    <n v="1.0294117647058822"/>
    <n v="35"/>
    <n v="32.549999999999997"/>
    <n v="57"/>
    <n v="68"/>
    <n v="82"/>
    <n v="52"/>
    <n v="92"/>
    <n v="32"/>
    <n v="111"/>
    <n v="30"/>
    <n v="90"/>
    <n v="72"/>
    <n v="106"/>
    <n v="83"/>
    <n v="51"/>
    <n v="230"/>
    <n v="149"/>
    <n v="115"/>
    <n v="89"/>
    <n v="136"/>
    <n v="9"/>
    <n v="136"/>
    <n v="112"/>
    <n v="43"/>
    <n v="86"/>
  </r>
  <r>
    <x v="1"/>
    <x v="9"/>
    <x v="9"/>
    <x v="2"/>
    <n v="101"/>
    <n v="0.52"/>
    <n v="1.5470297029702971"/>
    <n v="156.25"/>
    <n v="57.75"/>
    <n v="38"/>
    <n v="100"/>
    <n v="80"/>
    <n v="68"/>
    <n v="111"/>
    <n v="85"/>
    <n v="62"/>
    <n v="52"/>
    <n v="65"/>
    <n v="29"/>
    <n v="117"/>
    <n v="105"/>
    <n v="106"/>
    <n v="257"/>
    <n v="98"/>
    <n v="83"/>
    <n v="28"/>
    <n v="194"/>
    <n v="143"/>
    <n v="157"/>
    <n v="52"/>
    <n v="326"/>
    <n v="329"/>
  </r>
  <r>
    <x v="1"/>
    <x v="9"/>
    <x v="9"/>
    <x v="2"/>
    <n v="124"/>
    <n v="0.22"/>
    <n v="0.28225806451612906"/>
    <n v="35"/>
    <n v="53.55"/>
    <n v="30"/>
    <n v="106"/>
    <n v="87"/>
    <n v="125"/>
    <n v="37"/>
    <n v="54"/>
    <n v="48"/>
    <n v="38"/>
    <n v="70"/>
    <n v="104"/>
    <n v="96"/>
    <n v="32"/>
    <n v="112"/>
    <n v="36"/>
    <n v="343"/>
    <n v="303"/>
    <n v="312"/>
    <n v="637"/>
    <n v="363"/>
    <n v="156"/>
    <n v="16"/>
    <n v="21"/>
    <n v="40"/>
  </r>
  <r>
    <x v="1"/>
    <x v="9"/>
    <x v="9"/>
    <x v="1"/>
    <n v="88"/>
    <n v="0.22"/>
    <n v="0.41193181818181818"/>
    <n v="36.25"/>
    <n v="54.6"/>
    <n v="84"/>
    <n v="72"/>
    <n v="73"/>
    <n v="34"/>
    <n v="48"/>
    <n v="72"/>
    <n v="92"/>
    <n v="87"/>
    <n v="96"/>
    <n v="57"/>
    <n v="67"/>
    <n v="138"/>
    <n v="126"/>
    <n v="78"/>
    <n v="192"/>
    <n v="64"/>
    <n v="71"/>
    <n v="425"/>
    <n v="228"/>
    <n v="127"/>
    <n v="78"/>
    <n v="78"/>
    <n v="162"/>
  </r>
  <r>
    <x v="1"/>
    <x v="9"/>
    <x v="9"/>
    <x v="3"/>
    <n v="86"/>
    <n v="0.23"/>
    <n v="1.5843023255813953"/>
    <n v="136.25"/>
    <n v="17.850000000000001"/>
    <n v="71"/>
    <n v="123"/>
    <n v="99"/>
    <n v="60"/>
    <n v="79"/>
    <n v="91"/>
    <n v="46"/>
    <n v="93"/>
    <n v="113"/>
    <n v="74"/>
    <n v="41"/>
    <n v="107"/>
    <n v="96"/>
    <n v="34"/>
    <n v="135"/>
    <n v="306"/>
    <n v="170"/>
    <n v="68"/>
    <n v="110"/>
    <n v="46"/>
    <n v="7"/>
    <n v="60"/>
    <n v="249"/>
  </r>
  <r>
    <x v="1"/>
    <x v="10"/>
    <x v="10"/>
    <x v="1"/>
    <n v="59"/>
    <n v="0.64"/>
    <n v="0.93220338983050843"/>
    <n v="55"/>
    <n v="29.4"/>
    <n v="125"/>
    <n v="106"/>
    <n v="74"/>
    <n v="60"/>
    <n v="115"/>
    <n v="103"/>
    <n v="88"/>
    <n v="41"/>
    <n v="100"/>
    <n v="103"/>
    <n v="138"/>
    <n v="43"/>
    <n v="99"/>
    <n v="100"/>
    <n v="283"/>
    <n v="76"/>
    <n v="71"/>
    <n v="23"/>
    <n v="311"/>
    <n v="52"/>
    <n v="32"/>
    <n v="25"/>
    <n v="55"/>
  </r>
  <r>
    <x v="1"/>
    <x v="10"/>
    <x v="10"/>
    <x v="1"/>
    <n v="40"/>
    <n v="0.68"/>
    <n v="3"/>
    <n v="120"/>
    <n v="33.6"/>
    <n v="52"/>
    <n v="64"/>
    <n v="67"/>
    <n v="77"/>
    <n v="69"/>
    <n v="127"/>
    <n v="68"/>
    <n v="91"/>
    <n v="69"/>
    <n v="113"/>
    <n v="102"/>
    <n v="63"/>
    <n v="65"/>
    <n v="64"/>
    <n v="116"/>
    <n v="90"/>
    <n v="23"/>
    <n v="28"/>
    <n v="196"/>
    <n v="175"/>
    <n v="18"/>
    <n v="158"/>
    <n v="255"/>
  </r>
  <r>
    <x v="1"/>
    <x v="10"/>
    <x v="10"/>
    <x v="2"/>
    <n v="61"/>
    <n v="0.53"/>
    <n v="1.9262295081967213"/>
    <n v="117.5"/>
    <n v="61.95"/>
    <n v="75"/>
    <n v="73"/>
    <n v="52"/>
    <n v="100"/>
    <n v="92"/>
    <n v="36"/>
    <n v="81"/>
    <n v="95"/>
    <n v="67"/>
    <n v="77"/>
    <n v="66"/>
    <n v="105"/>
    <n v="118"/>
    <n v="140"/>
    <n v="151"/>
    <n v="96"/>
    <n v="377"/>
    <n v="200"/>
    <n v="76"/>
    <n v="77"/>
    <n v="176"/>
    <n v="220"/>
    <n v="58"/>
  </r>
  <r>
    <x v="1"/>
    <x v="10"/>
    <x v="10"/>
    <x v="1"/>
    <n v="122"/>
    <n v="0.44000000000000006"/>
    <n v="0.81967213114754101"/>
    <n v="100"/>
    <n v="18.899999999999999"/>
    <n v="134"/>
    <n v="62"/>
    <n v="122"/>
    <n v="73"/>
    <n v="86"/>
    <n v="101"/>
    <n v="68"/>
    <n v="62"/>
    <n v="41"/>
    <n v="88"/>
    <n v="53"/>
    <n v="103"/>
    <n v="78"/>
    <n v="49"/>
    <n v="357"/>
    <n v="15"/>
    <n v="178"/>
    <n v="14"/>
    <n v="182"/>
    <n v="166"/>
    <n v="11"/>
    <n v="77"/>
    <n v="233"/>
  </r>
  <r>
    <x v="1"/>
    <x v="11"/>
    <x v="11"/>
    <x v="3"/>
    <n v="103"/>
    <n v="0.54"/>
    <n v="0.6189320388349514"/>
    <n v="63.75"/>
    <n v="39.9"/>
    <n v="83"/>
    <n v="112"/>
    <n v="92"/>
    <n v="73"/>
    <n v="112"/>
    <n v="75"/>
    <n v="60"/>
    <n v="127"/>
    <n v="111"/>
    <n v="53"/>
    <n v="55"/>
    <n v="67"/>
    <n v="95"/>
    <n v="146"/>
    <n v="85"/>
    <n v="154"/>
    <n v="177"/>
    <n v="330"/>
    <n v="191"/>
    <n v="93"/>
    <n v="6"/>
    <n v="209"/>
    <n v="315"/>
  </r>
  <r>
    <x v="1"/>
    <x v="11"/>
    <x v="11"/>
    <x v="0"/>
    <n v="31"/>
    <n v="0.28000000000000003"/>
    <n v="1.4516129032258065"/>
    <n v="45"/>
    <n v="38.85"/>
    <n v="122"/>
    <n v="27"/>
    <n v="82"/>
    <n v="46"/>
    <n v="110"/>
    <n v="56"/>
    <n v="47"/>
    <n v="56"/>
    <n v="43"/>
    <n v="109"/>
    <n v="46"/>
    <n v="91"/>
    <n v="70"/>
    <n v="40"/>
    <n v="74"/>
    <n v="48"/>
    <n v="365"/>
    <n v="54"/>
    <n v="15"/>
    <n v="292"/>
    <n v="22"/>
    <n v="35"/>
    <n v="38"/>
  </r>
  <r>
    <x v="1"/>
    <x v="11"/>
    <x v="11"/>
    <x v="2"/>
    <n v="61"/>
    <n v="0.30999999999999994"/>
    <n v="1.3319672131147542"/>
    <n v="81.25"/>
    <n v="21"/>
    <n v="55"/>
    <n v="48"/>
    <n v="71"/>
    <n v="82"/>
    <n v="63"/>
    <n v="50"/>
    <n v="77"/>
    <n v="98"/>
    <n v="64"/>
    <n v="66"/>
    <n v="65"/>
    <n v="40"/>
    <n v="110"/>
    <n v="35"/>
    <n v="678"/>
    <n v="38"/>
    <n v="39"/>
    <n v="231"/>
    <n v="206"/>
    <n v="143"/>
    <n v="23"/>
    <n v="235"/>
    <n v="33"/>
  </r>
  <r>
    <x v="1"/>
    <x v="11"/>
    <x v="11"/>
    <x v="0"/>
    <n v="66"/>
    <n v="0.43000000000000005"/>
    <n v="0.5492424242424242"/>
    <n v="36.25"/>
    <n v="14.7"/>
    <n v="115"/>
    <n v="55"/>
    <n v="121"/>
    <n v="95"/>
    <n v="63"/>
    <n v="79"/>
    <n v="53"/>
    <n v="61"/>
    <n v="104"/>
    <n v="125"/>
    <n v="95"/>
    <n v="43"/>
    <n v="66"/>
    <n v="262"/>
    <n v="81"/>
    <n v="74"/>
    <n v="196"/>
    <n v="180"/>
    <n v="138"/>
    <n v="58"/>
    <n v="25"/>
    <n v="134"/>
    <n v="78"/>
  </r>
  <r>
    <x v="2"/>
    <x v="0"/>
    <x v="0"/>
    <x v="1"/>
    <n v="82"/>
    <n v="0.5"/>
    <n v="1.2560975609756098"/>
    <n v="103"/>
    <n v="41"/>
    <n v="88"/>
    <n v="71"/>
    <n v="52"/>
    <n v="73"/>
    <n v="79"/>
    <n v="46"/>
    <n v="42"/>
    <n v="37"/>
    <n v="49"/>
    <n v="104"/>
    <n v="108"/>
    <n v="51"/>
    <n v="41"/>
    <n v="118"/>
    <n v="42"/>
    <n v="940"/>
    <n v="291"/>
    <n v="320"/>
    <n v="71"/>
    <n v="80"/>
    <n v="17"/>
    <n v="42"/>
    <n v="130"/>
  </r>
  <r>
    <x v="2"/>
    <x v="0"/>
    <x v="0"/>
    <x v="0"/>
    <n v="56"/>
    <n v="0.77"/>
    <n v="1.25"/>
    <n v="70"/>
    <n v="55"/>
    <n v="74"/>
    <n v="65"/>
    <n v="117"/>
    <n v="48"/>
    <n v="50"/>
    <n v="54"/>
    <n v="87"/>
    <n v="61"/>
    <n v="119"/>
    <n v="54"/>
    <n v="142"/>
    <n v="128"/>
    <n v="34"/>
    <n v="126"/>
    <n v="75"/>
    <n v="170"/>
    <n v="149"/>
    <n v="149"/>
    <n v="353"/>
    <n v="114"/>
    <n v="168"/>
    <n v="136"/>
    <n v="49"/>
  </r>
  <r>
    <x v="2"/>
    <x v="0"/>
    <x v="0"/>
    <x v="0"/>
    <n v="76"/>
    <n v="0.48"/>
    <n v="1.25"/>
    <n v="95"/>
    <n v="31"/>
    <n v="44"/>
    <n v="74"/>
    <n v="84"/>
    <n v="90"/>
    <n v="79"/>
    <n v="64"/>
    <n v="35"/>
    <n v="126"/>
    <n v="108"/>
    <n v="61"/>
    <n v="73"/>
    <n v="72"/>
    <n v="76"/>
    <n v="66"/>
    <n v="165"/>
    <n v="93"/>
    <n v="170"/>
    <n v="126"/>
    <n v="166"/>
    <n v="5"/>
    <n v="26"/>
    <n v="35"/>
    <n v="5"/>
  </r>
  <r>
    <x v="2"/>
    <x v="0"/>
    <x v="0"/>
    <x v="3"/>
    <n v="114"/>
    <n v="0.59"/>
    <n v="1.2456140350877194"/>
    <n v="142"/>
    <n v="42"/>
    <n v="112"/>
    <n v="55"/>
    <n v="149"/>
    <n v="51"/>
    <n v="70"/>
    <n v="37"/>
    <n v="107"/>
    <n v="110"/>
    <n v="66"/>
    <n v="78"/>
    <n v="92"/>
    <n v="83"/>
    <n v="39"/>
    <n v="46"/>
    <n v="161"/>
    <n v="223"/>
    <n v="277"/>
    <n v="50"/>
    <n v="114"/>
    <n v="150"/>
    <n v="179"/>
    <n v="66"/>
    <n v="183"/>
  </r>
  <r>
    <x v="2"/>
    <x v="1"/>
    <x v="1"/>
    <x v="0"/>
    <n v="27"/>
    <n v="0.62"/>
    <n v="4.2592592592592595"/>
    <n v="115"/>
    <n v="25"/>
    <n v="81"/>
    <n v="100"/>
    <n v="46"/>
    <n v="116"/>
    <n v="106"/>
    <n v="70"/>
    <n v="106"/>
    <n v="101"/>
    <n v="50"/>
    <n v="30"/>
    <n v="62"/>
    <n v="87"/>
    <n v="28"/>
    <n v="150"/>
    <n v="115"/>
    <n v="25"/>
    <n v="60"/>
    <n v="314"/>
    <n v="105"/>
    <n v="82"/>
    <n v="17"/>
    <n v="16"/>
    <n v="270"/>
  </r>
  <r>
    <x v="2"/>
    <x v="1"/>
    <x v="1"/>
    <x v="0"/>
    <n v="35"/>
    <n v="0.77"/>
    <n v="1.2285714285714286"/>
    <n v="43"/>
    <n v="22"/>
    <n v="43"/>
    <n v="62"/>
    <n v="99"/>
    <n v="78"/>
    <n v="83"/>
    <n v="82"/>
    <n v="58"/>
    <n v="48"/>
    <n v="94"/>
    <n v="92"/>
    <n v="100"/>
    <n v="59"/>
    <n v="60"/>
    <n v="70"/>
    <n v="198"/>
    <n v="67"/>
    <n v="189"/>
    <n v="19"/>
    <n v="237"/>
    <n v="56"/>
    <n v="67"/>
    <n v="28"/>
    <n v="100"/>
  </r>
  <r>
    <x v="2"/>
    <x v="1"/>
    <x v="1"/>
    <x v="2"/>
    <n v="27"/>
    <n v="0.48"/>
    <n v="3.8518518518518516"/>
    <n v="104"/>
    <n v="53"/>
    <n v="93"/>
    <n v="74"/>
    <n v="98"/>
    <n v="137"/>
    <n v="46"/>
    <n v="82"/>
    <n v="58"/>
    <n v="76"/>
    <n v="48"/>
    <n v="91"/>
    <n v="86"/>
    <n v="126"/>
    <n v="73"/>
    <n v="172"/>
    <n v="95"/>
    <n v="189"/>
    <n v="352"/>
    <n v="62"/>
    <n v="310"/>
    <n v="300"/>
    <n v="136"/>
    <n v="163"/>
    <n v="49"/>
  </r>
  <r>
    <x v="2"/>
    <x v="1"/>
    <x v="1"/>
    <x v="1"/>
    <n v="47"/>
    <n v="0.78"/>
    <n v="1.2553191489361701"/>
    <n v="59"/>
    <n v="16"/>
    <n v="86"/>
    <n v="92"/>
    <n v="102"/>
    <n v="107"/>
    <n v="116"/>
    <n v="105"/>
    <n v="52"/>
    <n v="43"/>
    <n v="77"/>
    <n v="59"/>
    <n v="53"/>
    <n v="76"/>
    <n v="85"/>
    <n v="227"/>
    <n v="112"/>
    <n v="292"/>
    <n v="84"/>
    <n v="102"/>
    <n v="28"/>
    <n v="341"/>
    <n v="66"/>
    <n v="72"/>
    <n v="532"/>
  </r>
  <r>
    <x v="2"/>
    <x v="2"/>
    <x v="2"/>
    <x v="2"/>
    <n v="90"/>
    <n v="0.59"/>
    <n v="1.2444444444444445"/>
    <n v="112"/>
    <n v="17"/>
    <n v="50"/>
    <n v="146"/>
    <n v="71"/>
    <n v="82"/>
    <n v="142"/>
    <n v="78"/>
    <n v="96"/>
    <n v="80"/>
    <n v="91"/>
    <n v="78"/>
    <n v="40"/>
    <n v="53"/>
    <n v="69"/>
    <n v="642"/>
    <n v="217"/>
    <n v="29"/>
    <n v="120"/>
    <n v="181"/>
    <n v="22"/>
    <n v="165"/>
    <n v="49"/>
    <n v="71"/>
    <n v="57"/>
  </r>
  <r>
    <x v="2"/>
    <x v="2"/>
    <x v="2"/>
    <x v="2"/>
    <n v="64"/>
    <n v="0.71"/>
    <n v="1.265625"/>
    <n v="81"/>
    <n v="13"/>
    <n v="93"/>
    <n v="89"/>
    <n v="94"/>
    <n v="66"/>
    <n v="61"/>
    <n v="40"/>
    <n v="120"/>
    <n v="50"/>
    <n v="113"/>
    <n v="114"/>
    <n v="113"/>
    <n v="116"/>
    <n v="18"/>
    <n v="50"/>
    <n v="49"/>
    <n v="166"/>
    <n v="138"/>
    <n v="127"/>
    <n v="55"/>
    <n v="32"/>
    <n v="120"/>
    <n v="29"/>
    <n v="163"/>
  </r>
  <r>
    <x v="2"/>
    <x v="2"/>
    <x v="2"/>
    <x v="2"/>
    <n v="30"/>
    <n v="0.55000000000000004"/>
    <n v="1.2666666666666666"/>
    <n v="38"/>
    <n v="14"/>
    <n v="44"/>
    <n v="84"/>
    <n v="68"/>
    <n v="33"/>
    <n v="72"/>
    <n v="112"/>
    <n v="47"/>
    <n v="85"/>
    <n v="98"/>
    <n v="143"/>
    <n v="100"/>
    <n v="100"/>
    <n v="72"/>
    <n v="385"/>
    <n v="108"/>
    <n v="389"/>
    <n v="20"/>
    <n v="83"/>
    <n v="73"/>
    <n v="55"/>
    <n v="80"/>
    <n v="282"/>
    <n v="354"/>
  </r>
  <r>
    <x v="2"/>
    <x v="2"/>
    <x v="2"/>
    <x v="2"/>
    <n v="36"/>
    <n v="0.68"/>
    <n v="1.2777777777777777"/>
    <n v="46"/>
    <n v="38"/>
    <n v="51"/>
    <n v="51"/>
    <n v="59"/>
    <n v="55"/>
    <n v="63"/>
    <n v="136"/>
    <n v="36"/>
    <n v="134"/>
    <n v="101"/>
    <n v="97"/>
    <n v="33"/>
    <n v="81"/>
    <n v="99"/>
    <n v="126"/>
    <n v="133"/>
    <n v="163"/>
    <n v="179"/>
    <n v="100"/>
    <n v="303"/>
    <n v="44"/>
    <n v="156"/>
    <n v="155"/>
    <n v="47"/>
  </r>
  <r>
    <x v="2"/>
    <x v="3"/>
    <x v="3"/>
    <x v="2"/>
    <n v="58"/>
    <n v="0.8"/>
    <n v="1.2586206896551724"/>
    <n v="73"/>
    <n v="28"/>
    <n v="108"/>
    <n v="67"/>
    <n v="108"/>
    <n v="75"/>
    <n v="64"/>
    <n v="50"/>
    <n v="79"/>
    <n v="29"/>
    <n v="123"/>
    <n v="96"/>
    <n v="77"/>
    <n v="40"/>
    <n v="58"/>
    <n v="13"/>
    <n v="120"/>
    <n v="74"/>
    <n v="220"/>
    <n v="259"/>
    <n v="320"/>
    <n v="65"/>
    <n v="335"/>
    <n v="81"/>
    <n v="10"/>
  </r>
  <r>
    <x v="2"/>
    <x v="3"/>
    <x v="3"/>
    <x v="0"/>
    <n v="31"/>
    <n v="0.46"/>
    <n v="1.2580645161290323"/>
    <n v="39"/>
    <n v="47"/>
    <n v="83"/>
    <n v="28"/>
    <n v="69"/>
    <n v="94"/>
    <n v="54"/>
    <n v="47"/>
    <n v="52"/>
    <n v="43"/>
    <n v="92"/>
    <n v="74"/>
    <n v="48"/>
    <n v="143"/>
    <n v="81"/>
    <n v="50"/>
    <n v="104"/>
    <n v="111"/>
    <n v="612"/>
    <n v="147"/>
    <n v="330"/>
    <n v="84"/>
    <n v="373"/>
    <n v="192"/>
    <n v="147"/>
  </r>
  <r>
    <x v="2"/>
    <x v="3"/>
    <x v="3"/>
    <x v="0"/>
    <n v="54"/>
    <n v="0.8"/>
    <n v="1.2592592592592593"/>
    <n v="68"/>
    <n v="51"/>
    <n v="40"/>
    <n v="71"/>
    <n v="63"/>
    <n v="89"/>
    <n v="102"/>
    <n v="56"/>
    <n v="74"/>
    <n v="121"/>
    <n v="53"/>
    <n v="95"/>
    <n v="34"/>
    <n v="86"/>
    <n v="86"/>
    <n v="64"/>
    <n v="84"/>
    <n v="255"/>
    <n v="49"/>
    <n v="48"/>
    <n v="20"/>
    <n v="115"/>
    <n v="292"/>
    <n v="44"/>
    <n v="133"/>
  </r>
  <r>
    <x v="2"/>
    <x v="3"/>
    <x v="3"/>
    <x v="0"/>
    <n v="51"/>
    <n v="0.72"/>
    <n v="1.2549019607843137"/>
    <n v="64"/>
    <n v="34"/>
    <n v="79"/>
    <n v="56"/>
    <n v="96"/>
    <n v="95"/>
    <n v="82"/>
    <n v="79"/>
    <n v="56"/>
    <n v="34"/>
    <n v="133"/>
    <n v="64"/>
    <n v="142"/>
    <n v="82"/>
    <n v="38"/>
    <n v="127"/>
    <n v="54"/>
    <n v="408"/>
    <n v="90"/>
    <n v="36"/>
    <n v="27"/>
    <n v="248"/>
    <n v="199"/>
    <n v="448"/>
    <n v="397"/>
  </r>
  <r>
    <x v="2"/>
    <x v="4"/>
    <x v="4"/>
    <x v="3"/>
    <n v="42"/>
    <n v="0.67"/>
    <n v="1.2380952380952381"/>
    <n v="52"/>
    <n v="39"/>
    <n v="85"/>
    <n v="55"/>
    <n v="97"/>
    <n v="61"/>
    <n v="138"/>
    <n v="38"/>
    <n v="56"/>
    <n v="81"/>
    <n v="100"/>
    <n v="49"/>
    <n v="70"/>
    <n v="46"/>
    <n v="102"/>
    <n v="197"/>
    <n v="69"/>
    <n v="66"/>
    <n v="158"/>
    <n v="84"/>
    <n v="110"/>
    <n v="104"/>
    <n v="182"/>
    <n v="217"/>
    <n v="115"/>
  </r>
  <r>
    <x v="2"/>
    <x v="4"/>
    <x v="4"/>
    <x v="3"/>
    <n v="44"/>
    <n v="0.46"/>
    <n v="1.25"/>
    <n v="55"/>
    <n v="13"/>
    <n v="116"/>
    <n v="65"/>
    <n v="107"/>
    <n v="37"/>
    <n v="66"/>
    <n v="84"/>
    <n v="111"/>
    <n v="37"/>
    <n v="113"/>
    <n v="67"/>
    <n v="36"/>
    <n v="38"/>
    <n v="65"/>
    <n v="202"/>
    <n v="82"/>
    <n v="207"/>
    <n v="17"/>
    <n v="28"/>
    <n v="157"/>
    <n v="120"/>
    <n v="76"/>
    <n v="187"/>
    <n v="252"/>
  </r>
  <r>
    <x v="2"/>
    <x v="4"/>
    <x v="4"/>
    <x v="0"/>
    <n v="52"/>
    <n v="0.51"/>
    <n v="1.25"/>
    <n v="65"/>
    <n v="20"/>
    <n v="95"/>
    <n v="108"/>
    <n v="54"/>
    <n v="37"/>
    <n v="85"/>
    <n v="130"/>
    <n v="140"/>
    <n v="97"/>
    <n v="108"/>
    <n v="54"/>
    <n v="77"/>
    <n v="75"/>
    <n v="87"/>
    <n v="219"/>
    <n v="53"/>
    <n v="232"/>
    <n v="240"/>
    <n v="376"/>
    <n v="34"/>
    <n v="136"/>
    <n v="33"/>
    <n v="173"/>
    <n v="94"/>
  </r>
  <r>
    <x v="2"/>
    <x v="4"/>
    <x v="4"/>
    <x v="1"/>
    <n v="25"/>
    <n v="0.59"/>
    <n v="1.24"/>
    <n v="31"/>
    <n v="24"/>
    <n v="60"/>
    <n v="94"/>
    <n v="96"/>
    <n v="51"/>
    <n v="69"/>
    <n v="68"/>
    <n v="82"/>
    <n v="55"/>
    <n v="40"/>
    <n v="92"/>
    <n v="64"/>
    <n v="123"/>
    <n v="14"/>
    <n v="126"/>
    <n v="113"/>
    <n v="38"/>
    <n v="35"/>
    <n v="60"/>
    <n v="86"/>
    <n v="109"/>
    <n v="99"/>
    <n v="167"/>
    <n v="308"/>
  </r>
  <r>
    <x v="2"/>
    <x v="5"/>
    <x v="5"/>
    <x v="1"/>
    <n v="25"/>
    <n v="0.48"/>
    <n v="1.24"/>
    <n v="31"/>
    <n v="51"/>
    <n v="72"/>
    <n v="63"/>
    <n v="41"/>
    <n v="67"/>
    <n v="112"/>
    <n v="80"/>
    <n v="149"/>
    <n v="116"/>
    <n v="88"/>
    <n v="43"/>
    <n v="52"/>
    <n v="51"/>
    <n v="18"/>
    <n v="38"/>
    <n v="85"/>
    <n v="146"/>
    <n v="133"/>
    <n v="464"/>
    <n v="36"/>
    <n v="304"/>
    <n v="138"/>
    <n v="20"/>
    <n v="47"/>
  </r>
  <r>
    <x v="2"/>
    <x v="5"/>
    <x v="5"/>
    <x v="2"/>
    <n v="35"/>
    <n v="0.75"/>
    <n v="1.2285714285714286"/>
    <n v="43"/>
    <n v="51"/>
    <n v="82"/>
    <n v="55"/>
    <n v="70"/>
    <n v="78"/>
    <n v="63"/>
    <n v="82"/>
    <n v="55"/>
    <n v="71"/>
    <n v="77"/>
    <n v="86"/>
    <n v="53"/>
    <n v="86"/>
    <n v="45"/>
    <n v="34"/>
    <n v="36"/>
    <n v="157"/>
    <n v="44"/>
    <n v="27"/>
    <n v="122"/>
    <n v="172"/>
    <n v="118"/>
    <n v="171"/>
    <n v="20"/>
  </r>
  <r>
    <x v="2"/>
    <x v="5"/>
    <x v="5"/>
    <x v="0"/>
    <n v="35"/>
    <n v="0.74"/>
    <n v="1.2285714285714286"/>
    <n v="43"/>
    <n v="20"/>
    <n v="70"/>
    <n v="115"/>
    <n v="64"/>
    <n v="77"/>
    <n v="146"/>
    <n v="99"/>
    <n v="67"/>
    <n v="74"/>
    <n v="68"/>
    <n v="125"/>
    <n v="111"/>
    <n v="125"/>
    <n v="87"/>
    <n v="362"/>
    <n v="81"/>
    <n v="170"/>
    <n v="177"/>
    <n v="91"/>
    <n v="153"/>
    <n v="100"/>
    <n v="115"/>
    <n v="106"/>
    <n v="22"/>
  </r>
  <r>
    <x v="2"/>
    <x v="5"/>
    <x v="5"/>
    <x v="0"/>
    <n v="59"/>
    <n v="0.59"/>
    <n v="1.2542372881355932"/>
    <n v="74"/>
    <n v="32"/>
    <n v="71"/>
    <n v="66"/>
    <n v="86"/>
    <n v="38"/>
    <n v="84"/>
    <n v="48"/>
    <n v="90"/>
    <n v="100"/>
    <n v="61"/>
    <n v="92"/>
    <n v="56"/>
    <n v="94"/>
    <n v="28"/>
    <n v="223"/>
    <n v="564"/>
    <n v="33"/>
    <n v="102"/>
    <n v="70"/>
    <n v="253"/>
    <n v="25"/>
    <n v="245"/>
    <n v="231"/>
    <n v="357"/>
  </r>
  <r>
    <x v="2"/>
    <x v="6"/>
    <x v="6"/>
    <x v="3"/>
    <n v="83"/>
    <n v="0.7"/>
    <n v="1.2530120481927711"/>
    <n v="104"/>
    <n v="19"/>
    <n v="47"/>
    <n v="78"/>
    <n v="48"/>
    <n v="98"/>
    <n v="40"/>
    <n v="103"/>
    <n v="51"/>
    <n v="131"/>
    <n v="56"/>
    <n v="88"/>
    <n v="107"/>
    <n v="75"/>
    <n v="25"/>
    <n v="63"/>
    <n v="5"/>
    <n v="29"/>
    <n v="84"/>
    <n v="173"/>
    <n v="71"/>
    <n v="338"/>
    <n v="22"/>
    <n v="34"/>
    <n v="308"/>
  </r>
  <r>
    <x v="2"/>
    <x v="6"/>
    <x v="6"/>
    <x v="0"/>
    <n v="46"/>
    <n v="0.49"/>
    <n v="1.2608695652173914"/>
    <n v="58"/>
    <n v="13"/>
    <n v="40"/>
    <n v="75"/>
    <n v="74"/>
    <n v="76"/>
    <n v="84"/>
    <n v="52"/>
    <n v="59"/>
    <n v="53"/>
    <n v="112"/>
    <n v="63"/>
    <n v="64"/>
    <n v="66"/>
    <n v="26"/>
    <n v="53"/>
    <n v="37"/>
    <n v="7"/>
    <n v="28"/>
    <n v="43"/>
    <n v="236"/>
    <n v="122"/>
    <n v="70"/>
    <n v="44"/>
    <n v="61"/>
  </r>
  <r>
    <x v="2"/>
    <x v="6"/>
    <x v="6"/>
    <x v="2"/>
    <n v="55"/>
    <n v="0.68"/>
    <n v="1.2545454545454546"/>
    <n v="69"/>
    <n v="9"/>
    <n v="48"/>
    <n v="58"/>
    <n v="72"/>
    <n v="67"/>
    <n v="52"/>
    <n v="36"/>
    <n v="48"/>
    <n v="84"/>
    <n v="58"/>
    <n v="107"/>
    <n v="67"/>
    <n v="38"/>
    <n v="81"/>
    <n v="136"/>
    <n v="16"/>
    <n v="309"/>
    <n v="18"/>
    <n v="145"/>
    <n v="157"/>
    <n v="143"/>
    <n v="132"/>
    <n v="105"/>
    <n v="237"/>
  </r>
  <r>
    <x v="2"/>
    <x v="6"/>
    <x v="6"/>
    <x v="3"/>
    <n v="49"/>
    <n v="0.49"/>
    <n v="1.2448979591836735"/>
    <n v="61"/>
    <n v="31"/>
    <n v="73"/>
    <n v="48"/>
    <n v="100"/>
    <n v="50"/>
    <n v="64"/>
    <n v="56"/>
    <n v="66"/>
    <n v="127"/>
    <n v="96"/>
    <n v="100"/>
    <n v="71"/>
    <n v="36"/>
    <n v="106"/>
    <n v="11"/>
    <n v="291"/>
    <n v="20"/>
    <n v="77"/>
    <n v="26"/>
    <n v="365"/>
    <n v="126"/>
    <n v="108"/>
    <n v="219"/>
    <n v="10"/>
  </r>
  <r>
    <x v="2"/>
    <x v="7"/>
    <x v="7"/>
    <x v="0"/>
    <n v="111"/>
    <n v="0.47"/>
    <n v="1.2522522522522523"/>
    <n v="139"/>
    <n v="44"/>
    <n v="83"/>
    <n v="75"/>
    <n v="81"/>
    <n v="52"/>
    <n v="70"/>
    <n v="72"/>
    <n v="112"/>
    <n v="52"/>
    <n v="98"/>
    <n v="78"/>
    <n v="137"/>
    <n v="91"/>
    <n v="73"/>
    <n v="57"/>
    <n v="137"/>
    <n v="369"/>
    <n v="227"/>
    <n v="149"/>
    <n v="75"/>
    <n v="11"/>
    <n v="497"/>
    <n v="336"/>
    <n v="351"/>
  </r>
  <r>
    <x v="2"/>
    <x v="7"/>
    <x v="7"/>
    <x v="3"/>
    <n v="99"/>
    <n v="0.5"/>
    <n v="1.2424242424242424"/>
    <n v="123"/>
    <n v="44"/>
    <n v="28"/>
    <n v="82"/>
    <n v="72"/>
    <n v="132"/>
    <n v="40"/>
    <n v="86"/>
    <n v="97"/>
    <n v="112"/>
    <n v="62"/>
    <n v="63"/>
    <n v="93"/>
    <n v="65"/>
    <n v="71"/>
    <n v="37"/>
    <n v="102"/>
    <n v="166"/>
    <n v="56"/>
    <n v="116"/>
    <n v="149"/>
    <n v="153"/>
    <n v="202"/>
    <n v="41"/>
    <n v="112"/>
  </r>
  <r>
    <x v="2"/>
    <x v="7"/>
    <x v="7"/>
    <x v="2"/>
    <n v="98"/>
    <n v="0.69"/>
    <n v="1.2448979591836735"/>
    <n v="122"/>
    <n v="34"/>
    <n v="119"/>
    <n v="100"/>
    <n v="102"/>
    <n v="35"/>
    <n v="150"/>
    <n v="27"/>
    <n v="78"/>
    <n v="114"/>
    <n v="95"/>
    <n v="46"/>
    <n v="57"/>
    <n v="96"/>
    <n v="84"/>
    <n v="232"/>
    <n v="279"/>
    <n v="214"/>
    <n v="20"/>
    <n v="366"/>
    <n v="136"/>
    <n v="235"/>
    <n v="149"/>
    <n v="25"/>
    <n v="456"/>
  </r>
  <r>
    <x v="2"/>
    <x v="7"/>
    <x v="7"/>
    <x v="0"/>
    <n v="38"/>
    <n v="0.57999999999999996"/>
    <n v="1.263157894736842"/>
    <n v="48"/>
    <n v="16"/>
    <n v="49"/>
    <n v="102"/>
    <n v="49"/>
    <n v="81"/>
    <n v="118"/>
    <n v="80"/>
    <n v="66"/>
    <n v="59"/>
    <n v="86"/>
    <n v="72"/>
    <n v="43"/>
    <n v="75"/>
    <n v="103"/>
    <n v="112"/>
    <n v="66"/>
    <n v="48"/>
    <n v="88"/>
    <n v="143"/>
    <n v="170"/>
    <n v="74"/>
    <n v="189"/>
    <n v="81"/>
    <n v="114"/>
  </r>
  <r>
    <x v="2"/>
    <x v="8"/>
    <x v="8"/>
    <x v="1"/>
    <n v="102"/>
    <n v="0.48"/>
    <n v="1.2549019607843137"/>
    <n v="128"/>
    <n v="51"/>
    <n v="69"/>
    <n v="98"/>
    <n v="38"/>
    <n v="58"/>
    <n v="42"/>
    <n v="89"/>
    <n v="84"/>
    <n v="106"/>
    <n v="60"/>
    <n v="59"/>
    <n v="74"/>
    <n v="104"/>
    <n v="62"/>
    <n v="11"/>
    <n v="198"/>
    <n v="38"/>
    <n v="68"/>
    <n v="20"/>
    <n v="296"/>
    <n v="81"/>
    <n v="196"/>
    <n v="152"/>
    <n v="62"/>
  </r>
  <r>
    <x v="2"/>
    <x v="8"/>
    <x v="8"/>
    <x v="3"/>
    <n v="28"/>
    <n v="0.69"/>
    <n v="1.2857142857142858"/>
    <n v="36"/>
    <n v="34"/>
    <n v="65"/>
    <n v="78"/>
    <n v="80"/>
    <n v="88"/>
    <n v="57"/>
    <n v="94"/>
    <n v="150"/>
    <n v="84"/>
    <n v="52"/>
    <n v="53"/>
    <n v="83"/>
    <n v="56"/>
    <n v="61"/>
    <n v="15"/>
    <n v="110"/>
    <n v="128"/>
    <n v="118"/>
    <n v="63"/>
    <n v="14"/>
    <n v="83"/>
    <n v="246"/>
    <n v="248"/>
    <n v="8"/>
  </r>
  <r>
    <x v="2"/>
    <x v="8"/>
    <x v="8"/>
    <x v="1"/>
    <n v="48"/>
    <n v="0.54"/>
    <n v="1.25"/>
    <n v="60"/>
    <n v="14"/>
    <n v="67"/>
    <n v="100"/>
    <n v="77"/>
    <n v="86"/>
    <n v="89"/>
    <n v="85"/>
    <n v="48"/>
    <n v="62"/>
    <n v="108"/>
    <n v="62"/>
    <n v="145"/>
    <n v="145"/>
    <n v="71"/>
    <n v="362"/>
    <n v="81"/>
    <n v="588"/>
    <n v="62"/>
    <n v="65"/>
    <n v="7"/>
    <n v="3"/>
    <n v="195"/>
    <n v="68"/>
    <n v="7"/>
  </r>
  <r>
    <x v="2"/>
    <x v="8"/>
    <x v="8"/>
    <x v="2"/>
    <n v="66"/>
    <n v="0.46"/>
    <n v="1.2575757575757576"/>
    <n v="83"/>
    <n v="41"/>
    <n v="125"/>
    <n v="110"/>
    <n v="70"/>
    <n v="36"/>
    <n v="113"/>
    <n v="38"/>
    <n v="84"/>
    <n v="85"/>
    <n v="39"/>
    <n v="50"/>
    <n v="126"/>
    <n v="79"/>
    <n v="83"/>
    <n v="56"/>
    <n v="135"/>
    <n v="80"/>
    <n v="93"/>
    <n v="44"/>
    <n v="352"/>
    <n v="61"/>
    <n v="123"/>
    <n v="20"/>
    <n v="82"/>
  </r>
  <r>
    <x v="2"/>
    <x v="9"/>
    <x v="9"/>
    <x v="1"/>
    <n v="97"/>
    <n v="0.57999999999999996"/>
    <n v="1.2474226804123711"/>
    <n v="121"/>
    <n v="53"/>
    <n v="65"/>
    <n v="51"/>
    <n v="69"/>
    <n v="86"/>
    <n v="45"/>
    <n v="88"/>
    <n v="49"/>
    <n v="104"/>
    <n v="92"/>
    <n v="65"/>
    <n v="121"/>
    <n v="130"/>
    <n v="113"/>
    <n v="276"/>
    <n v="458"/>
    <n v="300"/>
    <n v="128"/>
    <n v="291"/>
    <n v="20"/>
    <n v="99"/>
    <n v="22"/>
    <n v="212"/>
    <n v="135"/>
  </r>
  <r>
    <x v="2"/>
    <x v="9"/>
    <x v="9"/>
    <x v="3"/>
    <n v="95"/>
    <n v="0.53"/>
    <n v="1.2526315789473683"/>
    <n v="119"/>
    <n v="23"/>
    <n v="57"/>
    <n v="101"/>
    <n v="85"/>
    <n v="47"/>
    <n v="103"/>
    <n v="116"/>
    <n v="51"/>
    <n v="92"/>
    <n v="62"/>
    <n v="57"/>
    <n v="71"/>
    <n v="54"/>
    <n v="93"/>
    <n v="174"/>
    <n v="12"/>
    <n v="308"/>
    <n v="338"/>
    <n v="46"/>
    <n v="125"/>
    <n v="131"/>
    <n v="79"/>
    <n v="32"/>
    <n v="8"/>
  </r>
  <r>
    <x v="2"/>
    <x v="9"/>
    <x v="9"/>
    <x v="1"/>
    <n v="106"/>
    <n v="0.77"/>
    <n v="1.2452830188679245"/>
    <n v="132"/>
    <n v="14"/>
    <n v="64"/>
    <n v="70"/>
    <n v="76"/>
    <n v="26"/>
    <n v="87"/>
    <n v="108"/>
    <n v="101"/>
    <n v="66"/>
    <n v="53"/>
    <n v="102"/>
    <n v="70"/>
    <n v="47"/>
    <n v="55"/>
    <n v="61"/>
    <n v="88"/>
    <n v="55"/>
    <n v="242"/>
    <n v="127"/>
    <n v="220"/>
    <n v="133"/>
    <n v="96"/>
    <n v="61"/>
    <n v="67"/>
  </r>
  <r>
    <x v="2"/>
    <x v="9"/>
    <x v="9"/>
    <x v="3"/>
    <n v="110"/>
    <n v="0.55000000000000004"/>
    <n v="1.2545454545454546"/>
    <n v="138"/>
    <n v="12"/>
    <n v="38"/>
    <n v="42"/>
    <n v="107"/>
    <n v="65"/>
    <n v="71"/>
    <n v="62"/>
    <n v="46"/>
    <n v="133"/>
    <n v="33"/>
    <n v="107"/>
    <n v="47"/>
    <n v="84"/>
    <n v="101"/>
    <n v="165"/>
    <n v="18"/>
    <n v="156"/>
    <n v="117"/>
    <n v="67"/>
    <n v="73"/>
    <n v="165"/>
    <n v="167"/>
    <n v="146"/>
    <n v="215"/>
  </r>
  <r>
    <x v="2"/>
    <x v="10"/>
    <x v="10"/>
    <x v="0"/>
    <n v="33"/>
    <n v="0.68"/>
    <n v="1.2424242424242424"/>
    <n v="41"/>
    <n v="47"/>
    <n v="68"/>
    <n v="98"/>
    <n v="112"/>
    <n v="114"/>
    <n v="129"/>
    <n v="39"/>
    <n v="61"/>
    <n v="102"/>
    <n v="65"/>
    <n v="50"/>
    <n v="68"/>
    <n v="47"/>
    <n v="112"/>
    <n v="132"/>
    <n v="188"/>
    <n v="43"/>
    <n v="82"/>
    <n v="281"/>
    <n v="87"/>
    <n v="145"/>
    <n v="275"/>
    <n v="56"/>
    <n v="284"/>
  </r>
  <r>
    <x v="2"/>
    <x v="10"/>
    <x v="10"/>
    <x v="0"/>
    <n v="46"/>
    <n v="0.45"/>
    <n v="1.2608695652173914"/>
    <n v="58"/>
    <n v="27"/>
    <n v="42"/>
    <n v="65"/>
    <n v="100"/>
    <n v="56"/>
    <n v="132"/>
    <n v="87"/>
    <n v="79"/>
    <n v="68"/>
    <n v="32"/>
    <n v="53"/>
    <n v="91"/>
    <n v="31"/>
    <n v="66"/>
    <n v="24"/>
    <n v="65"/>
    <n v="622"/>
    <n v="60"/>
    <n v="28"/>
    <n v="79"/>
    <n v="83"/>
    <n v="100"/>
    <n v="53"/>
    <n v="38"/>
  </r>
  <r>
    <x v="2"/>
    <x v="10"/>
    <x v="10"/>
    <x v="3"/>
    <n v="54"/>
    <n v="0.45"/>
    <n v="1.2592592592592593"/>
    <n v="68"/>
    <n v="48"/>
    <n v="91"/>
    <n v="115"/>
    <n v="54"/>
    <n v="52"/>
    <n v="113"/>
    <n v="33"/>
    <n v="96"/>
    <n v="37"/>
    <n v="61"/>
    <n v="111"/>
    <n v="101"/>
    <n v="125"/>
    <n v="45"/>
    <n v="132"/>
    <n v="60"/>
    <n v="180"/>
    <n v="162"/>
    <n v="198"/>
    <n v="29"/>
    <n v="53"/>
    <n v="31"/>
    <n v="221"/>
    <n v="160"/>
  </r>
  <r>
    <x v="2"/>
    <x v="10"/>
    <x v="10"/>
    <x v="1"/>
    <n v="81"/>
    <n v="0.46"/>
    <n v="1.2469135802469136"/>
    <n v="101"/>
    <n v="49"/>
    <n v="125"/>
    <n v="82"/>
    <n v="46"/>
    <n v="104"/>
    <n v="73"/>
    <n v="53"/>
    <n v="71"/>
    <n v="76"/>
    <n v="132"/>
    <n v="123"/>
    <n v="49"/>
    <n v="46"/>
    <n v="80"/>
    <n v="68"/>
    <n v="113"/>
    <n v="750"/>
    <n v="117"/>
    <n v="46"/>
    <n v="62"/>
    <n v="96"/>
    <n v="10"/>
    <n v="62"/>
    <n v="12"/>
  </r>
  <r>
    <x v="2"/>
    <x v="11"/>
    <x v="11"/>
    <x v="1"/>
    <n v="46"/>
    <n v="0.68"/>
    <n v="1.2608695652173914"/>
    <n v="58"/>
    <n v="37"/>
    <n v="76"/>
    <n v="93"/>
    <n v="146"/>
    <n v="105"/>
    <n v="72"/>
    <n v="63"/>
    <n v="66"/>
    <n v="121"/>
    <n v="113"/>
    <n v="37"/>
    <n v="65"/>
    <n v="90"/>
    <n v="29"/>
    <n v="414"/>
    <n v="69"/>
    <n v="105"/>
    <n v="132"/>
    <n v="102"/>
    <n v="130"/>
    <n v="200"/>
    <n v="30"/>
    <n v="165"/>
    <n v="56"/>
  </r>
  <r>
    <x v="2"/>
    <x v="11"/>
    <x v="11"/>
    <x v="2"/>
    <n v="102"/>
    <n v="0.52"/>
    <n v="1.2549019607843137"/>
    <n v="128"/>
    <n v="17"/>
    <n v="62"/>
    <n v="69"/>
    <n v="84"/>
    <n v="49"/>
    <n v="73"/>
    <n v="105"/>
    <n v="53"/>
    <n v="80"/>
    <n v="55"/>
    <n v="96"/>
    <n v="43"/>
    <n v="47"/>
    <n v="119"/>
    <n v="169"/>
    <n v="37"/>
    <n v="42"/>
    <n v="492"/>
    <n v="174"/>
    <n v="5"/>
    <n v="125"/>
    <n v="5"/>
    <n v="210"/>
    <n v="224"/>
  </r>
  <r>
    <x v="2"/>
    <x v="11"/>
    <x v="11"/>
    <x v="1"/>
    <n v="89"/>
    <n v="0.68"/>
    <n v="1.247191011235955"/>
    <n v="111"/>
    <n v="44"/>
    <n v="63"/>
    <n v="62"/>
    <n v="89"/>
    <n v="90"/>
    <n v="60"/>
    <n v="105"/>
    <n v="91"/>
    <n v="31"/>
    <n v="101"/>
    <n v="112"/>
    <n v="47"/>
    <n v="104"/>
    <n v="167"/>
    <n v="187"/>
    <n v="30"/>
    <n v="209"/>
    <n v="185"/>
    <n v="70"/>
    <n v="146"/>
    <n v="99"/>
    <n v="226"/>
    <n v="28"/>
    <n v="139"/>
  </r>
  <r>
    <x v="2"/>
    <x v="11"/>
    <x v="11"/>
    <x v="0"/>
    <n v="60"/>
    <n v="0.5"/>
    <n v="1.25"/>
    <n v="75"/>
    <n v="55"/>
    <n v="51"/>
    <n v="44"/>
    <n v="116"/>
    <n v="84"/>
    <n v="111"/>
    <n v="108"/>
    <n v="91"/>
    <n v="89"/>
    <n v="72"/>
    <n v="90"/>
    <n v="110"/>
    <n v="85"/>
    <n v="107"/>
    <n v="108"/>
    <n v="80"/>
    <n v="256"/>
    <n v="138"/>
    <n v="106"/>
    <n v="169"/>
    <n v="303"/>
    <n v="7"/>
    <n v="310"/>
    <n v="341"/>
  </r>
  <r>
    <x v="2"/>
    <x v="0"/>
    <x v="0"/>
    <x v="0"/>
    <n v="21"/>
    <n v="0.55000000000000004"/>
    <n v="4.7142857142857144"/>
    <n v="99"/>
    <n v="16"/>
    <n v="74"/>
    <n v="79"/>
    <n v="54"/>
    <n v="112"/>
    <n v="45"/>
    <n v="52"/>
    <n v="65"/>
    <n v="51"/>
    <n v="79"/>
    <n v="98"/>
    <n v="47"/>
    <n v="32"/>
    <n v="62"/>
    <n v="69"/>
    <n v="182"/>
    <n v="885"/>
    <n v="60"/>
    <n v="83"/>
    <n v="732"/>
    <n v="50"/>
    <n v="18"/>
    <n v="55"/>
    <n v="20"/>
  </r>
  <r>
    <x v="2"/>
    <x v="0"/>
    <x v="0"/>
    <x v="0"/>
    <n v="46"/>
    <n v="0.31"/>
    <n v="1.1521739130434783"/>
    <n v="53"/>
    <n v="16"/>
    <n v="73"/>
    <n v="66"/>
    <n v="35"/>
    <n v="122"/>
    <n v="96"/>
    <n v="49"/>
    <n v="94"/>
    <n v="81"/>
    <n v="62"/>
    <n v="77"/>
    <n v="124"/>
    <n v="85"/>
    <n v="37"/>
    <n v="306"/>
    <n v="62"/>
    <n v="144"/>
    <n v="196"/>
    <n v="148"/>
    <n v="113"/>
    <n v="48"/>
    <n v="44"/>
    <n v="240"/>
    <n v="98"/>
  </r>
  <r>
    <x v="2"/>
    <x v="0"/>
    <x v="0"/>
    <x v="1"/>
    <n v="37"/>
    <n v="0.72"/>
    <n v="2.0810810810810811"/>
    <n v="77"/>
    <n v="33"/>
    <n v="94"/>
    <n v="106"/>
    <n v="136"/>
    <n v="77"/>
    <n v="63"/>
    <n v="100"/>
    <n v="65"/>
    <n v="91"/>
    <n v="66"/>
    <n v="69"/>
    <n v="91"/>
    <n v="76"/>
    <n v="79"/>
    <n v="224"/>
    <n v="217"/>
    <n v="20"/>
    <n v="485"/>
    <n v="166"/>
    <n v="54"/>
    <n v="78"/>
    <n v="232"/>
    <n v="172"/>
    <n v="165"/>
  </r>
  <r>
    <x v="2"/>
    <x v="0"/>
    <x v="0"/>
    <x v="0"/>
    <n v="31"/>
    <n v="0.56999999999999995"/>
    <n v="2.4838709677419355"/>
    <n v="77"/>
    <n v="25"/>
    <n v="82"/>
    <n v="144"/>
    <n v="110"/>
    <n v="83"/>
    <n v="83"/>
    <n v="101"/>
    <n v="85"/>
    <n v="57"/>
    <n v="56"/>
    <n v="86"/>
    <n v="45"/>
    <n v="95"/>
    <n v="63"/>
    <n v="130"/>
    <n v="355"/>
    <n v="670"/>
    <n v="45"/>
    <n v="180"/>
    <n v="74"/>
    <n v="92"/>
    <n v="228"/>
    <n v="93"/>
    <n v="138"/>
  </r>
  <r>
    <x v="2"/>
    <x v="1"/>
    <x v="1"/>
    <x v="3"/>
    <n v="27"/>
    <n v="0.39"/>
    <n v="0.85185185185185186"/>
    <n v="23"/>
    <n v="26"/>
    <n v="78"/>
    <n v="87"/>
    <n v="60"/>
    <n v="70"/>
    <n v="56"/>
    <n v="72"/>
    <n v="101"/>
    <n v="64"/>
    <n v="127"/>
    <n v="81"/>
    <n v="91"/>
    <n v="43"/>
    <n v="113"/>
    <n v="235"/>
    <n v="61"/>
    <n v="58"/>
    <n v="112"/>
    <n v="208"/>
    <n v="42"/>
    <n v="46"/>
    <n v="167"/>
    <n v="348"/>
    <n v="224"/>
  </r>
  <r>
    <x v="2"/>
    <x v="1"/>
    <x v="1"/>
    <x v="0"/>
    <n v="22"/>
    <n v="0.55000000000000004"/>
    <n v="3.9090909090909092"/>
    <n v="86"/>
    <n v="32"/>
    <n v="59"/>
    <n v="83"/>
    <n v="147"/>
    <n v="107"/>
    <n v="79"/>
    <n v="39"/>
    <n v="67"/>
    <n v="104"/>
    <n v="86"/>
    <n v="95"/>
    <n v="92"/>
    <n v="52"/>
    <n v="32"/>
    <n v="85"/>
    <n v="86"/>
    <n v="35"/>
    <n v="46"/>
    <n v="43"/>
    <n v="163"/>
    <n v="124"/>
    <n v="62"/>
    <n v="295"/>
    <n v="205"/>
  </r>
  <r>
    <x v="3"/>
    <x v="1"/>
    <x v="1"/>
    <x v="1"/>
    <n v="27"/>
    <n v="0.66"/>
    <n v="2.5925925925925926"/>
    <n v="70"/>
    <n v="27"/>
    <n v="62"/>
    <n v="69"/>
    <n v="39"/>
    <n v="126"/>
    <n v="50"/>
    <n v="148"/>
    <n v="111"/>
    <n v="56"/>
    <n v="48"/>
    <n v="89"/>
    <n v="34"/>
    <n v="28"/>
    <n v="116"/>
    <n v="24"/>
    <n v="327"/>
    <n v="172"/>
    <n v="266"/>
    <n v="189"/>
    <n v="505"/>
    <n v="204"/>
    <n v="12"/>
    <n v="339"/>
    <n v="27"/>
  </r>
  <r>
    <x v="3"/>
    <x v="1"/>
    <x v="1"/>
    <x v="2"/>
    <n v="27"/>
    <n v="0.43"/>
    <n v="4"/>
    <n v="108"/>
    <n v="31"/>
    <n v="95"/>
    <n v="74"/>
    <n v="48"/>
    <n v="38"/>
    <n v="57"/>
    <n v="86"/>
    <n v="40"/>
    <n v="72"/>
    <n v="105"/>
    <n v="71"/>
    <n v="131"/>
    <n v="74"/>
    <n v="75"/>
    <n v="55"/>
    <n v="897"/>
    <n v="20"/>
    <n v="277"/>
    <n v="252"/>
    <n v="88"/>
    <n v="48"/>
    <n v="180"/>
    <n v="63"/>
    <n v="134"/>
  </r>
  <r>
    <x v="3"/>
    <x v="2"/>
    <x v="2"/>
    <x v="2"/>
    <n v="23"/>
    <n v="0.64"/>
    <n v="1.0434782608695652"/>
    <n v="24"/>
    <n v="41"/>
    <n v="49"/>
    <n v="59"/>
    <n v="45"/>
    <n v="99"/>
    <n v="52"/>
    <n v="51"/>
    <n v="127"/>
    <n v="61"/>
    <n v="59"/>
    <n v="53"/>
    <n v="48"/>
    <n v="68"/>
    <n v="44"/>
    <n v="42"/>
    <n v="150"/>
    <n v="88"/>
    <n v="472"/>
    <n v="310"/>
    <n v="89"/>
    <n v="192"/>
    <n v="76"/>
    <n v="68"/>
    <n v="341"/>
  </r>
  <r>
    <x v="3"/>
    <x v="2"/>
    <x v="2"/>
    <x v="0"/>
    <n v="55"/>
    <n v="0.77"/>
    <n v="1.4"/>
    <n v="77"/>
    <n v="10"/>
    <n v="112"/>
    <n v="83"/>
    <n v="113"/>
    <n v="30"/>
    <n v="68"/>
    <n v="57"/>
    <n v="70"/>
    <n v="44"/>
    <n v="61"/>
    <n v="94"/>
    <n v="103"/>
    <n v="58"/>
    <n v="77"/>
    <n v="220"/>
    <n v="87"/>
    <n v="59"/>
    <n v="159"/>
    <n v="52"/>
    <n v="40"/>
    <n v="70"/>
    <n v="101"/>
    <n v="108"/>
    <n v="410"/>
  </r>
  <r>
    <x v="3"/>
    <x v="2"/>
    <x v="2"/>
    <x v="0"/>
    <n v="86"/>
    <n v="0.32"/>
    <n v="0.36046511627906974"/>
    <n v="31"/>
    <n v="35"/>
    <n v="43"/>
    <n v="107"/>
    <n v="69"/>
    <n v="31"/>
    <n v="51"/>
    <n v="102"/>
    <n v="56"/>
    <n v="73"/>
    <n v="86"/>
    <n v="93"/>
    <n v="95"/>
    <n v="121"/>
    <n v="30"/>
    <n v="115"/>
    <n v="31"/>
    <n v="187"/>
    <n v="112"/>
    <n v="213"/>
    <n v="193"/>
    <n v="126"/>
    <n v="618"/>
    <n v="235"/>
    <n v="29"/>
  </r>
  <r>
    <x v="3"/>
    <x v="2"/>
    <x v="2"/>
    <x v="3"/>
    <n v="25"/>
    <n v="0.47"/>
    <n v="1.44"/>
    <n v="36"/>
    <n v="30"/>
    <n v="120"/>
    <n v="41"/>
    <n v="49"/>
    <n v="81"/>
    <n v="137"/>
    <n v="40"/>
    <n v="111"/>
    <n v="138"/>
    <n v="61"/>
    <n v="30"/>
    <n v="62"/>
    <n v="72"/>
    <n v="96"/>
    <n v="62"/>
    <n v="215"/>
    <n v="120"/>
    <n v="378"/>
    <n v="111"/>
    <n v="85"/>
    <n v="163"/>
    <n v="28"/>
    <n v="157"/>
    <n v="236"/>
  </r>
  <r>
    <x v="3"/>
    <x v="3"/>
    <x v="3"/>
    <x v="3"/>
    <n v="49"/>
    <n v="0.75"/>
    <n v="1"/>
    <n v="49"/>
    <n v="19"/>
    <n v="99"/>
    <n v="102"/>
    <n v="106"/>
    <n v="66"/>
    <n v="26"/>
    <n v="38"/>
    <n v="64"/>
    <n v="58"/>
    <n v="143"/>
    <n v="102"/>
    <n v="51"/>
    <n v="48"/>
    <n v="81"/>
    <n v="22"/>
    <n v="42"/>
    <n v="95"/>
    <n v="104"/>
    <n v="368"/>
    <n v="389"/>
    <n v="368"/>
    <n v="39"/>
    <n v="124"/>
    <n v="354"/>
  </r>
  <r>
    <x v="3"/>
    <x v="3"/>
    <x v="3"/>
    <x v="2"/>
    <n v="71"/>
    <n v="0.38"/>
    <n v="0.61971830985915488"/>
    <n v="44"/>
    <n v="9"/>
    <n v="71"/>
    <n v="74"/>
    <n v="87"/>
    <n v="117"/>
    <n v="57"/>
    <n v="75"/>
    <n v="67"/>
    <n v="84"/>
    <n v="34"/>
    <n v="37"/>
    <n v="133"/>
    <n v="38"/>
    <n v="16"/>
    <n v="351"/>
    <n v="235"/>
    <n v="163"/>
    <n v="172"/>
    <n v="68"/>
    <n v="89"/>
    <n v="119"/>
    <n v="66"/>
    <n v="86"/>
    <n v="75"/>
  </r>
  <r>
    <x v="3"/>
    <x v="3"/>
    <x v="3"/>
    <x v="1"/>
    <n v="26"/>
    <n v="0.72"/>
    <n v="0.92307692307692313"/>
    <n v="24"/>
    <n v="16"/>
    <n v="82"/>
    <n v="43"/>
    <n v="118"/>
    <n v="83"/>
    <n v="45"/>
    <n v="78"/>
    <n v="43"/>
    <n v="142"/>
    <n v="118"/>
    <n v="59"/>
    <n v="45"/>
    <n v="71"/>
    <n v="65"/>
    <n v="152"/>
    <n v="106"/>
    <n v="93"/>
    <n v="226"/>
    <n v="40"/>
    <n v="287"/>
    <n v="66"/>
    <n v="64"/>
    <n v="26"/>
    <n v="97"/>
  </r>
  <r>
    <x v="3"/>
    <x v="3"/>
    <x v="3"/>
    <x v="1"/>
    <n v="41"/>
    <n v="0.46"/>
    <n v="1.1707317073170731"/>
    <n v="48"/>
    <n v="19"/>
    <n v="44"/>
    <n v="119"/>
    <n v="50"/>
    <n v="37"/>
    <n v="73"/>
    <n v="75"/>
    <n v="80"/>
    <n v="49"/>
    <n v="88"/>
    <n v="49"/>
    <n v="52"/>
    <n v="122"/>
    <n v="91"/>
    <n v="9"/>
    <n v="38"/>
    <n v="221"/>
    <n v="112"/>
    <n v="31"/>
    <n v="86"/>
    <n v="64"/>
    <n v="145"/>
    <n v="97"/>
    <n v="465"/>
  </r>
  <r>
    <x v="3"/>
    <x v="4"/>
    <x v="4"/>
    <x v="0"/>
    <n v="42"/>
    <n v="0.32"/>
    <n v="1.4047619047619047"/>
    <n v="59"/>
    <n v="29"/>
    <n v="50"/>
    <n v="63"/>
    <n v="89"/>
    <n v="100"/>
    <n v="55"/>
    <n v="62"/>
    <n v="62"/>
    <n v="75"/>
    <n v="47"/>
    <n v="102"/>
    <n v="72"/>
    <n v="50"/>
    <n v="68"/>
    <n v="135"/>
    <n v="37"/>
    <n v="298"/>
    <n v="111"/>
    <n v="130"/>
    <n v="63"/>
    <n v="91"/>
    <n v="91"/>
    <n v="48"/>
    <n v="143"/>
  </r>
  <r>
    <x v="3"/>
    <x v="4"/>
    <x v="4"/>
    <x v="2"/>
    <n v="55"/>
    <n v="0.35"/>
    <n v="0.50909090909090904"/>
    <n v="28"/>
    <n v="33"/>
    <n v="102"/>
    <n v="31"/>
    <n v="55"/>
    <n v="131"/>
    <n v="51"/>
    <n v="69"/>
    <n v="50"/>
    <n v="56"/>
    <n v="80"/>
    <n v="86"/>
    <n v="45"/>
    <n v="51"/>
    <n v="18"/>
    <n v="314"/>
    <n v="63"/>
    <n v="312"/>
    <n v="233"/>
    <n v="63"/>
    <n v="27"/>
    <n v="185"/>
    <n v="71"/>
    <n v="110"/>
    <n v="78"/>
  </r>
  <r>
    <x v="3"/>
    <x v="4"/>
    <x v="4"/>
    <x v="0"/>
    <n v="32"/>
    <n v="0.41"/>
    <n v="1.90625"/>
    <n v="61"/>
    <n v="19"/>
    <n v="127"/>
    <n v="68"/>
    <n v="46"/>
    <n v="105"/>
    <n v="43"/>
    <n v="113"/>
    <n v="89"/>
    <n v="48"/>
    <n v="59"/>
    <n v="146"/>
    <n v="63"/>
    <n v="54"/>
    <n v="52"/>
    <n v="56"/>
    <n v="375"/>
    <n v="195"/>
    <n v="30"/>
    <n v="23"/>
    <n v="596"/>
    <n v="97"/>
    <n v="69"/>
    <n v="106"/>
    <n v="238"/>
  </r>
  <r>
    <x v="3"/>
    <x v="4"/>
    <x v="4"/>
    <x v="3"/>
    <n v="32"/>
    <n v="0.32"/>
    <n v="2.375"/>
    <n v="76"/>
    <n v="41"/>
    <n v="91"/>
    <n v="42"/>
    <n v="111"/>
    <n v="113"/>
    <n v="46"/>
    <n v="94"/>
    <n v="57"/>
    <n v="36"/>
    <n v="89"/>
    <n v="110"/>
    <n v="68"/>
    <n v="75"/>
    <n v="25"/>
    <n v="400"/>
    <n v="126"/>
    <n v="440"/>
    <n v="36"/>
    <n v="169"/>
    <n v="407"/>
    <n v="217"/>
    <n v="96"/>
    <n v="115"/>
    <n v="72"/>
  </r>
  <r>
    <x v="3"/>
    <x v="5"/>
    <x v="5"/>
    <x v="0"/>
    <n v="44"/>
    <n v="0.33"/>
    <n v="1.3636363636363635"/>
    <n v="60"/>
    <n v="36"/>
    <n v="112"/>
    <n v="59"/>
    <n v="133"/>
    <n v="75"/>
    <n v="95"/>
    <n v="46"/>
    <n v="52"/>
    <n v="98"/>
    <n v="56"/>
    <n v="129"/>
    <n v="112"/>
    <n v="100"/>
    <n v="49"/>
    <n v="173"/>
    <n v="325"/>
    <n v="152"/>
    <n v="73"/>
    <n v="56"/>
    <n v="113"/>
    <n v="36"/>
    <n v="260"/>
    <n v="522"/>
    <n v="132"/>
  </r>
  <r>
    <x v="3"/>
    <x v="5"/>
    <x v="5"/>
    <x v="1"/>
    <n v="42"/>
    <n v="0.32"/>
    <n v="2.1428571428571428"/>
    <n v="90"/>
    <n v="10"/>
    <n v="43"/>
    <n v="79"/>
    <n v="67"/>
    <n v="107"/>
    <n v="78"/>
    <n v="100"/>
    <n v="64"/>
    <n v="79"/>
    <n v="127"/>
    <n v="49"/>
    <n v="76"/>
    <n v="93"/>
    <n v="18"/>
    <n v="103"/>
    <n v="202"/>
    <n v="78"/>
    <n v="267"/>
    <n v="165"/>
    <n v="37"/>
    <n v="171"/>
    <n v="38"/>
    <n v="85"/>
    <n v="62"/>
  </r>
  <r>
    <x v="3"/>
    <x v="5"/>
    <x v="5"/>
    <x v="3"/>
    <n v="81"/>
    <n v="0.37"/>
    <n v="1.1234567901234569"/>
    <n v="91"/>
    <n v="39"/>
    <n v="59"/>
    <n v="101"/>
    <n v="71"/>
    <n v="84"/>
    <n v="51"/>
    <n v="92"/>
    <n v="127"/>
    <n v="64"/>
    <n v="45"/>
    <n v="53"/>
    <n v="42"/>
    <n v="116"/>
    <n v="64"/>
    <n v="80"/>
    <n v="121"/>
    <n v="88"/>
    <n v="209"/>
    <n v="70"/>
    <n v="316"/>
    <n v="384"/>
    <n v="218"/>
    <n v="290"/>
    <n v="226"/>
  </r>
  <r>
    <x v="3"/>
    <x v="5"/>
    <x v="5"/>
    <x v="1"/>
    <n v="46"/>
    <n v="0.52"/>
    <n v="1.2173913043478262"/>
    <n v="56"/>
    <n v="8"/>
    <n v="49"/>
    <n v="91"/>
    <n v="102"/>
    <n v="71"/>
    <n v="142"/>
    <n v="119"/>
    <n v="78"/>
    <n v="37"/>
    <n v="84"/>
    <n v="34"/>
    <n v="66"/>
    <n v="94"/>
    <n v="63"/>
    <n v="36"/>
    <n v="145"/>
    <n v="116"/>
    <n v="47"/>
    <n v="43"/>
    <n v="89"/>
    <n v="70"/>
    <n v="363"/>
    <n v="306"/>
    <n v="165"/>
  </r>
  <r>
    <x v="3"/>
    <x v="6"/>
    <x v="6"/>
    <x v="1"/>
    <n v="44"/>
    <n v="0.62"/>
    <n v="1.3181818181818181"/>
    <n v="58"/>
    <n v="33"/>
    <n v="119"/>
    <n v="62"/>
    <n v="130"/>
    <n v="93"/>
    <n v="100"/>
    <n v="125"/>
    <n v="91"/>
    <n v="47"/>
    <n v="142"/>
    <n v="51"/>
    <n v="74"/>
    <n v="93"/>
    <n v="50"/>
    <n v="8"/>
    <n v="706"/>
    <n v="134"/>
    <n v="210"/>
    <n v="122"/>
    <n v="196"/>
    <n v="130"/>
    <n v="141"/>
    <n v="339"/>
    <n v="6"/>
  </r>
  <r>
    <x v="3"/>
    <x v="6"/>
    <x v="6"/>
    <x v="3"/>
    <n v="72"/>
    <n v="0.51"/>
    <n v="1.4027777777777777"/>
    <n v="101"/>
    <n v="14"/>
    <n v="68"/>
    <n v="49"/>
    <n v="143"/>
    <n v="113"/>
    <n v="128"/>
    <n v="98"/>
    <n v="64"/>
    <n v="88"/>
    <n v="46"/>
    <n v="92"/>
    <n v="38"/>
    <n v="58"/>
    <n v="66"/>
    <n v="170"/>
    <n v="87"/>
    <n v="130"/>
    <n v="31"/>
    <n v="174"/>
    <n v="187"/>
    <n v="81"/>
    <n v="74"/>
    <n v="64"/>
    <n v="70"/>
  </r>
  <r>
    <x v="3"/>
    <x v="6"/>
    <x v="6"/>
    <x v="1"/>
    <n v="72"/>
    <n v="0.57999999999999996"/>
    <n v="0.72222222222222221"/>
    <n v="52"/>
    <n v="24"/>
    <n v="36"/>
    <n v="84"/>
    <n v="101"/>
    <n v="42"/>
    <n v="47"/>
    <n v="57"/>
    <n v="54"/>
    <n v="132"/>
    <n v="95"/>
    <n v="130"/>
    <n v="113"/>
    <n v="103"/>
    <n v="125"/>
    <n v="240"/>
    <n v="66"/>
    <n v="392"/>
    <n v="192"/>
    <n v="73"/>
    <n v="57"/>
    <n v="130"/>
    <n v="44"/>
    <n v="48"/>
    <n v="50"/>
  </r>
  <r>
    <x v="3"/>
    <x v="6"/>
    <x v="6"/>
    <x v="3"/>
    <n v="48"/>
    <n v="0.43"/>
    <n v="1.1458333333333333"/>
    <n v="55"/>
    <n v="30"/>
    <n v="62"/>
    <n v="94"/>
    <n v="89"/>
    <n v="61"/>
    <n v="48"/>
    <n v="59"/>
    <n v="42"/>
    <n v="71"/>
    <n v="85"/>
    <n v="69"/>
    <n v="83"/>
    <n v="54"/>
    <n v="37"/>
    <n v="333"/>
    <n v="204"/>
    <n v="278"/>
    <n v="186"/>
    <n v="58"/>
    <n v="6"/>
    <n v="428"/>
    <n v="266"/>
    <n v="865"/>
    <n v="100"/>
  </r>
  <r>
    <x v="3"/>
    <x v="7"/>
    <x v="7"/>
    <x v="0"/>
    <n v="60"/>
    <n v="0.3"/>
    <n v="0.66666666666666663"/>
    <n v="40"/>
    <n v="14"/>
    <n v="43"/>
    <n v="75"/>
    <n v="88"/>
    <n v="107"/>
    <n v="54"/>
    <n v="83"/>
    <n v="101"/>
    <n v="98"/>
    <n v="37"/>
    <n v="103"/>
    <n v="79"/>
    <n v="25"/>
    <n v="68"/>
    <n v="56"/>
    <n v="27"/>
    <n v="119"/>
    <n v="130"/>
    <n v="289"/>
    <n v="362"/>
    <n v="62"/>
    <n v="222"/>
    <n v="75"/>
    <n v="223"/>
  </r>
  <r>
    <x v="3"/>
    <x v="7"/>
    <x v="7"/>
    <x v="1"/>
    <n v="49"/>
    <n v="0.52"/>
    <n v="0.81632653061224492"/>
    <n v="40"/>
    <n v="40"/>
    <n v="76"/>
    <n v="113"/>
    <n v="90"/>
    <n v="118"/>
    <n v="82"/>
    <n v="51"/>
    <n v="109"/>
    <n v="133"/>
    <n v="44"/>
    <n v="28"/>
    <n v="78"/>
    <n v="44"/>
    <n v="76"/>
    <n v="187"/>
    <n v="104"/>
    <n v="145"/>
    <n v="208"/>
    <n v="9"/>
    <n v="48"/>
    <n v="40"/>
    <n v="44"/>
    <n v="17"/>
    <n v="153"/>
  </r>
  <r>
    <x v="3"/>
    <x v="7"/>
    <x v="7"/>
    <x v="3"/>
    <n v="23"/>
    <n v="0.35"/>
    <n v="3"/>
    <n v="69"/>
    <n v="17"/>
    <n v="121"/>
    <n v="95"/>
    <n v="100"/>
    <n v="68"/>
    <n v="104"/>
    <n v="55"/>
    <n v="62"/>
    <n v="113"/>
    <n v="126"/>
    <n v="57"/>
    <n v="74"/>
    <n v="61"/>
    <n v="52"/>
    <n v="106"/>
    <n v="101"/>
    <n v="72"/>
    <n v="122"/>
    <n v="77"/>
    <n v="183"/>
    <n v="5"/>
    <n v="28"/>
    <n v="100"/>
    <n v="5"/>
  </r>
  <r>
    <x v="3"/>
    <x v="7"/>
    <x v="7"/>
    <x v="3"/>
    <n v="47"/>
    <n v="0.69"/>
    <n v="1.1276595744680851"/>
    <n v="53"/>
    <n v="19"/>
    <n v="57"/>
    <n v="91"/>
    <n v="98"/>
    <n v="97"/>
    <n v="102"/>
    <n v="84"/>
    <n v="85"/>
    <n v="98"/>
    <n v="141"/>
    <n v="37"/>
    <n v="69"/>
    <n v="56"/>
    <n v="38"/>
    <n v="1"/>
    <n v="168"/>
    <n v="209"/>
    <n v="281"/>
    <n v="680"/>
    <n v="154"/>
    <n v="2"/>
    <n v="78"/>
    <n v="198"/>
    <n v="229"/>
  </r>
  <r>
    <x v="3"/>
    <x v="8"/>
    <x v="8"/>
    <x v="1"/>
    <n v="38"/>
    <n v="0.59"/>
    <n v="1.3421052631578947"/>
    <n v="51"/>
    <n v="21"/>
    <n v="64"/>
    <n v="62"/>
    <n v="57"/>
    <n v="49"/>
    <n v="141"/>
    <n v="114"/>
    <n v="103"/>
    <n v="41"/>
    <n v="40"/>
    <n v="58"/>
    <n v="78"/>
    <n v="46"/>
    <n v="81"/>
    <n v="174"/>
    <n v="74"/>
    <n v="465"/>
    <n v="159"/>
    <n v="72"/>
    <n v="99"/>
    <n v="116"/>
    <n v="129"/>
    <n v="54"/>
    <n v="169"/>
  </r>
  <r>
    <x v="3"/>
    <x v="8"/>
    <x v="8"/>
    <x v="2"/>
    <n v="19"/>
    <n v="0.75"/>
    <n v="1.736842105263158"/>
    <n v="33"/>
    <n v="28"/>
    <n v="66"/>
    <n v="138"/>
    <n v="36"/>
    <n v="125"/>
    <n v="39"/>
    <n v="53"/>
    <n v="84"/>
    <n v="81"/>
    <n v="85"/>
    <n v="126"/>
    <n v="69"/>
    <n v="90"/>
    <n v="43"/>
    <n v="602"/>
    <n v="88"/>
    <n v="200"/>
    <n v="18"/>
    <n v="52"/>
    <n v="24"/>
    <n v="385"/>
    <n v="60"/>
    <n v="51"/>
    <n v="74"/>
  </r>
  <r>
    <x v="3"/>
    <x v="8"/>
    <x v="8"/>
    <x v="1"/>
    <n v="35"/>
    <n v="0.76"/>
    <n v="2.5428571428571427"/>
    <n v="89"/>
    <n v="26"/>
    <n v="57"/>
    <n v="95"/>
    <n v="104"/>
    <n v="35"/>
    <n v="42"/>
    <n v="74"/>
    <n v="45"/>
    <n v="47"/>
    <n v="123"/>
    <n v="51"/>
    <n v="131"/>
    <n v="93"/>
    <n v="102"/>
    <n v="149"/>
    <n v="368"/>
    <n v="244"/>
    <n v="29"/>
    <n v="51"/>
    <n v="294"/>
    <n v="140"/>
    <n v="132"/>
    <n v="137"/>
    <n v="101"/>
  </r>
  <r>
    <x v="3"/>
    <x v="8"/>
    <x v="8"/>
    <x v="0"/>
    <n v="39"/>
    <n v="0.68"/>
    <n v="1.5641025641025641"/>
    <n v="61"/>
    <n v="9"/>
    <n v="64"/>
    <n v="81"/>
    <n v="48"/>
    <n v="44"/>
    <n v="91"/>
    <n v="104"/>
    <n v="89"/>
    <n v="104"/>
    <n v="48"/>
    <n v="118"/>
    <n v="116"/>
    <n v="51"/>
    <n v="77"/>
    <n v="36"/>
    <n v="477"/>
    <n v="36"/>
    <n v="89"/>
    <n v="246"/>
    <n v="47"/>
    <n v="50"/>
    <n v="39"/>
    <n v="76"/>
    <n v="197"/>
  </r>
  <r>
    <x v="3"/>
    <x v="9"/>
    <x v="9"/>
    <x v="3"/>
    <n v="29"/>
    <n v="0.33"/>
    <n v="1.0689655172413792"/>
    <n v="31"/>
    <n v="31"/>
    <n v="87"/>
    <n v="110"/>
    <n v="94"/>
    <n v="129"/>
    <n v="39"/>
    <n v="39"/>
    <n v="126"/>
    <n v="53"/>
    <n v="112"/>
    <n v="54"/>
    <n v="40"/>
    <n v="56"/>
    <n v="90"/>
    <n v="32"/>
    <n v="281"/>
    <n v="275"/>
    <n v="176"/>
    <n v="67"/>
    <n v="73"/>
    <n v="171"/>
    <n v="36"/>
    <n v="135"/>
    <n v="16"/>
  </r>
  <r>
    <x v="3"/>
    <x v="9"/>
    <x v="9"/>
    <x v="1"/>
    <n v="25"/>
    <n v="0.6"/>
    <n v="4.28"/>
    <n v="107"/>
    <n v="33"/>
    <n v="75"/>
    <n v="50"/>
    <n v="71"/>
    <n v="80"/>
    <n v="86"/>
    <n v="50"/>
    <n v="95"/>
    <n v="70"/>
    <n v="114"/>
    <n v="85"/>
    <n v="58"/>
    <n v="54"/>
    <n v="104"/>
    <n v="211"/>
    <n v="397"/>
    <n v="80"/>
    <n v="60"/>
    <n v="175"/>
    <n v="104"/>
    <n v="254"/>
    <n v="71"/>
    <n v="164"/>
    <n v="231"/>
  </r>
  <r>
    <x v="3"/>
    <x v="9"/>
    <x v="9"/>
    <x v="0"/>
    <n v="62"/>
    <n v="0.56999999999999995"/>
    <n v="1.1129032258064515"/>
    <n v="69"/>
    <n v="30"/>
    <n v="47"/>
    <n v="101"/>
    <n v="73"/>
    <n v="51"/>
    <n v="123"/>
    <n v="90"/>
    <n v="66"/>
    <n v="53"/>
    <n v="33"/>
    <n v="89"/>
    <n v="71"/>
    <n v="54"/>
    <n v="32"/>
    <n v="22"/>
    <n v="366"/>
    <n v="140"/>
    <n v="154"/>
    <n v="16"/>
    <n v="52"/>
    <n v="22"/>
    <n v="96"/>
    <n v="480"/>
    <n v="16"/>
  </r>
  <r>
    <x v="3"/>
    <x v="9"/>
    <x v="9"/>
    <x v="3"/>
    <n v="19"/>
    <n v="0.68"/>
    <n v="1.5263157894736843"/>
    <n v="29"/>
    <n v="37"/>
    <n v="48"/>
    <n v="71"/>
    <n v="56"/>
    <n v="65"/>
    <n v="57"/>
    <n v="77"/>
    <n v="83"/>
    <n v="84"/>
    <n v="90"/>
    <n v="69"/>
    <n v="60"/>
    <n v="126"/>
    <n v="73"/>
    <n v="137"/>
    <n v="156"/>
    <n v="677"/>
    <n v="77"/>
    <n v="175"/>
    <n v="10"/>
    <n v="11"/>
    <n v="44"/>
    <n v="191"/>
    <n v="80"/>
  </r>
  <r>
    <x v="3"/>
    <x v="10"/>
    <x v="10"/>
    <x v="2"/>
    <n v="86"/>
    <n v="0.66"/>
    <n v="0.91860465116279066"/>
    <n v="79"/>
    <n v="29"/>
    <n v="68"/>
    <n v="60"/>
    <n v="43"/>
    <n v="55"/>
    <n v="142"/>
    <n v="49"/>
    <n v="103"/>
    <n v="96"/>
    <n v="123"/>
    <n v="110"/>
    <n v="53"/>
    <n v="79"/>
    <n v="120"/>
    <n v="212"/>
    <n v="42"/>
    <n v="253"/>
    <n v="20"/>
    <n v="88"/>
    <n v="57"/>
    <n v="55"/>
    <n v="16"/>
    <n v="143"/>
    <n v="17"/>
  </r>
  <r>
    <x v="3"/>
    <x v="10"/>
    <x v="10"/>
    <x v="3"/>
    <n v="56"/>
    <n v="0.62"/>
    <n v="0.9821428571428571"/>
    <n v="55"/>
    <n v="32"/>
    <n v="86"/>
    <n v="90"/>
    <n v="65"/>
    <n v="80"/>
    <n v="82"/>
    <n v="85"/>
    <n v="113"/>
    <n v="76"/>
    <n v="113"/>
    <n v="40"/>
    <n v="38"/>
    <n v="73"/>
    <n v="121"/>
    <n v="76"/>
    <n v="85"/>
    <n v="12"/>
    <n v="105"/>
    <n v="177"/>
    <n v="93"/>
    <n v="238"/>
    <n v="207"/>
    <n v="313"/>
    <n v="127"/>
  </r>
  <r>
    <x v="3"/>
    <x v="10"/>
    <x v="10"/>
    <x v="0"/>
    <n v="69"/>
    <n v="0.38"/>
    <n v="0.40579710144927539"/>
    <n v="28"/>
    <n v="42"/>
    <n v="93"/>
    <n v="62"/>
    <n v="43"/>
    <n v="100"/>
    <n v="101"/>
    <n v="114"/>
    <n v="93"/>
    <n v="72"/>
    <n v="66"/>
    <n v="44"/>
    <n v="59"/>
    <n v="70"/>
    <n v="70"/>
    <n v="231"/>
    <n v="54"/>
    <n v="93"/>
    <n v="157"/>
    <n v="468"/>
    <n v="119"/>
    <n v="281"/>
    <n v="130"/>
    <n v="10"/>
    <n v="77"/>
  </r>
  <r>
    <x v="3"/>
    <x v="10"/>
    <x v="10"/>
    <x v="0"/>
    <n v="18"/>
    <n v="0.67"/>
    <n v="3.3888888888888888"/>
    <n v="61"/>
    <n v="8"/>
    <n v="51"/>
    <n v="54"/>
    <n v="47"/>
    <n v="71"/>
    <n v="119"/>
    <n v="70"/>
    <n v="75"/>
    <n v="71"/>
    <n v="62"/>
    <n v="82"/>
    <n v="42"/>
    <n v="92"/>
    <n v="65"/>
    <n v="18"/>
    <n v="343"/>
    <n v="55"/>
    <n v="219"/>
    <n v="135"/>
    <n v="10"/>
    <n v="168"/>
    <n v="115"/>
    <n v="572"/>
    <n v="156"/>
  </r>
  <r>
    <x v="3"/>
    <x v="11"/>
    <x v="11"/>
    <x v="1"/>
    <n v="61"/>
    <n v="0.3"/>
    <n v="0.63934426229508201"/>
    <n v="39"/>
    <n v="41"/>
    <n v="69"/>
    <n v="30"/>
    <n v="98"/>
    <n v="85"/>
    <n v="108"/>
    <n v="98"/>
    <n v="66"/>
    <n v="48"/>
    <n v="41"/>
    <n v="50"/>
    <n v="82"/>
    <n v="38"/>
    <n v="102"/>
    <n v="31"/>
    <n v="182"/>
    <n v="71"/>
    <n v="10"/>
    <n v="15"/>
    <n v="29"/>
    <n v="41"/>
    <n v="152"/>
    <n v="308"/>
    <n v="57"/>
  </r>
  <r>
    <x v="3"/>
    <x v="11"/>
    <x v="11"/>
    <x v="1"/>
    <n v="62"/>
    <n v="0.73"/>
    <n v="0.74193548387096775"/>
    <n v="46"/>
    <n v="22"/>
    <n v="90"/>
    <n v="86"/>
    <n v="39"/>
    <n v="84"/>
    <n v="62"/>
    <n v="42"/>
    <n v="82"/>
    <n v="61"/>
    <n v="56"/>
    <n v="39"/>
    <n v="104"/>
    <n v="65"/>
    <n v="57"/>
    <n v="72"/>
    <n v="210"/>
    <n v="106"/>
    <n v="134"/>
    <n v="122"/>
    <n v="109"/>
    <n v="26"/>
    <n v="817"/>
    <n v="172"/>
    <n v="35"/>
  </r>
  <r>
    <x v="3"/>
    <x v="11"/>
    <x v="11"/>
    <x v="1"/>
    <n v="42"/>
    <n v="0.66"/>
    <n v="1.3571428571428572"/>
    <n v="57"/>
    <n v="41"/>
    <n v="57"/>
    <n v="85"/>
    <n v="149"/>
    <n v="78"/>
    <n v="66"/>
    <n v="77"/>
    <n v="120"/>
    <n v="29"/>
    <n v="70"/>
    <n v="72"/>
    <n v="87"/>
    <n v="86"/>
    <n v="33"/>
    <n v="28"/>
    <n v="208"/>
    <n v="124"/>
    <n v="170"/>
    <n v="212"/>
    <n v="72"/>
    <n v="11"/>
    <n v="136"/>
    <n v="298"/>
    <n v="585"/>
  </r>
  <r>
    <x v="3"/>
    <x v="11"/>
    <x v="11"/>
    <x v="3"/>
    <n v="79"/>
    <n v="0.34"/>
    <n v="0.34177215189873417"/>
    <n v="27"/>
    <n v="13"/>
    <n v="39"/>
    <n v="99"/>
    <n v="85"/>
    <n v="54"/>
    <n v="51"/>
    <n v="88"/>
    <n v="85"/>
    <n v="62"/>
    <n v="101"/>
    <n v="131"/>
    <n v="118"/>
    <n v="26"/>
    <n v="121"/>
    <n v="144"/>
    <n v="80"/>
    <n v="102"/>
    <n v="372"/>
    <n v="85"/>
    <n v="44"/>
    <n v="200"/>
    <n v="13"/>
    <n v="123"/>
    <n v="43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2">
  <r>
    <x v="0"/>
    <x v="0"/>
    <x v="0"/>
    <x v="0"/>
    <n v="77"/>
    <n v="0.57999999999999996"/>
    <n v="1.25"/>
    <n v="96.25"/>
    <n v="27.25"/>
    <n v="59"/>
    <n v="107"/>
    <n v="53"/>
    <n v="92"/>
    <n v="79"/>
    <n v="59"/>
    <n v="130"/>
    <n v="116"/>
    <n v="65"/>
    <n v="104"/>
    <n v="32"/>
    <n v="77"/>
    <n v="25"/>
    <n v="441"/>
    <n v="77"/>
    <n v="357"/>
    <n v="183"/>
    <n v="97"/>
    <n v="10"/>
    <n v="422"/>
    <n v="29"/>
    <n v="71"/>
    <n v="40"/>
  </r>
  <r>
    <x v="0"/>
    <x v="0"/>
    <x v="0"/>
    <x v="0"/>
    <n v="54"/>
    <n v="0.41"/>
    <n v="1.25"/>
    <n v="67.5"/>
    <n v="25.15"/>
    <n v="70"/>
    <n v="108"/>
    <n v="96"/>
    <n v="132"/>
    <n v="66"/>
    <n v="83"/>
    <n v="78"/>
    <n v="96"/>
    <n v="60"/>
    <n v="94"/>
    <n v="63"/>
    <n v="92"/>
    <n v="26"/>
    <n v="281"/>
    <n v="354"/>
    <n v="695"/>
    <n v="8"/>
    <n v="18"/>
    <n v="61"/>
    <n v="316"/>
    <n v="353"/>
    <n v="44"/>
    <n v="65"/>
  </r>
  <r>
    <x v="0"/>
    <x v="0"/>
    <x v="0"/>
    <x v="1"/>
    <n v="104"/>
    <n v="0.56999999999999995"/>
    <n v="1.25"/>
    <n v="130"/>
    <n v="17.3"/>
    <n v="78"/>
    <n v="102"/>
    <n v="41"/>
    <n v="116"/>
    <n v="49"/>
    <n v="103"/>
    <n v="100"/>
    <n v="114"/>
    <n v="138"/>
    <n v="104"/>
    <n v="33"/>
    <n v="94"/>
    <n v="19"/>
    <n v="345"/>
    <n v="159"/>
    <n v="375"/>
    <n v="162"/>
    <n v="139"/>
    <n v="93"/>
    <n v="136"/>
    <n v="220"/>
    <n v="82"/>
    <n v="172"/>
  </r>
  <r>
    <x v="0"/>
    <x v="0"/>
    <x v="0"/>
    <x v="2"/>
    <n v="45"/>
    <n v="0.75"/>
    <n v="1.25"/>
    <n v="56.25"/>
    <n v="31"/>
    <n v="57"/>
    <n v="51"/>
    <n v="84"/>
    <n v="139"/>
    <n v="68"/>
    <n v="91"/>
    <n v="73"/>
    <n v="116"/>
    <n v="50"/>
    <n v="61"/>
    <n v="66"/>
    <n v="34"/>
    <n v="30"/>
    <n v="415"/>
    <n v="151"/>
    <n v="677"/>
    <n v="108"/>
    <n v="104"/>
    <n v="107"/>
    <n v="656"/>
    <n v="28"/>
    <n v="104"/>
    <n v="75"/>
  </r>
  <r>
    <x v="0"/>
    <x v="1"/>
    <x v="1"/>
    <x v="0"/>
    <n v="27"/>
    <n v="0.52"/>
    <n v="2.9629629629629628"/>
    <n v="80"/>
    <n v="40.950000000000003"/>
    <n v="49"/>
    <n v="38"/>
    <n v="87"/>
    <n v="145"/>
    <n v="50"/>
    <n v="77"/>
    <n v="129"/>
    <n v="114"/>
    <n v="114"/>
    <n v="104"/>
    <n v="30"/>
    <n v="89"/>
    <n v="24"/>
    <n v="380"/>
    <n v="44"/>
    <n v="517"/>
    <n v="79"/>
    <n v="98"/>
    <n v="159"/>
    <n v="174"/>
    <n v="142"/>
    <n v="344"/>
    <n v="15"/>
  </r>
  <r>
    <x v="0"/>
    <x v="1"/>
    <x v="1"/>
    <x v="2"/>
    <n v="22"/>
    <n v="0.37"/>
    <n v="1.25"/>
    <n v="27.5"/>
    <n v="58.8"/>
    <n v="82"/>
    <n v="53"/>
    <n v="80"/>
    <n v="58"/>
    <n v="60"/>
    <n v="110"/>
    <n v="50"/>
    <n v="123"/>
    <n v="70"/>
    <n v="82"/>
    <n v="54"/>
    <n v="70"/>
    <n v="65"/>
    <n v="86"/>
    <n v="99"/>
    <n v="557"/>
    <n v="253"/>
    <n v="126"/>
    <n v="120"/>
    <n v="290"/>
    <n v="159"/>
    <n v="267"/>
    <n v="44"/>
  </r>
  <r>
    <x v="0"/>
    <x v="1"/>
    <x v="1"/>
    <x v="0"/>
    <n v="67"/>
    <n v="0.8"/>
    <n v="1.25"/>
    <n v="83.75"/>
    <n v="35.700000000000003"/>
    <n v="31"/>
    <n v="57"/>
    <n v="75"/>
    <n v="145"/>
    <n v="52"/>
    <n v="119"/>
    <n v="56"/>
    <n v="114"/>
    <n v="63"/>
    <n v="77"/>
    <n v="32"/>
    <n v="78"/>
    <n v="51"/>
    <n v="33"/>
    <n v="358"/>
    <n v="37"/>
    <n v="321"/>
    <n v="273"/>
    <n v="131"/>
    <n v="416"/>
    <n v="18"/>
    <n v="170"/>
    <n v="48"/>
  </r>
  <r>
    <x v="0"/>
    <x v="1"/>
    <x v="1"/>
    <x v="3"/>
    <n v="27"/>
    <n v="0.46"/>
    <n v="1.25"/>
    <n v="33.75"/>
    <n v="14.7"/>
    <n v="68"/>
    <n v="50"/>
    <n v="64"/>
    <n v="144"/>
    <n v="78"/>
    <n v="104"/>
    <n v="88"/>
    <n v="86"/>
    <n v="53"/>
    <n v="46"/>
    <n v="55"/>
    <n v="90"/>
    <n v="40"/>
    <n v="322"/>
    <n v="32"/>
    <n v="950"/>
    <n v="111"/>
    <n v="126"/>
    <n v="58"/>
    <n v="586"/>
    <n v="50"/>
    <n v="54"/>
    <n v="179"/>
  </r>
  <r>
    <x v="0"/>
    <x v="2"/>
    <x v="2"/>
    <x v="1"/>
    <n v="22"/>
    <n v="0.31"/>
    <n v="1.25"/>
    <n v="27.5"/>
    <n v="24.15"/>
    <n v="47"/>
    <n v="110"/>
    <n v="53"/>
    <n v="113"/>
    <n v="55"/>
    <n v="78"/>
    <n v="135"/>
    <n v="115"/>
    <n v="58"/>
    <n v="99"/>
    <n v="55"/>
    <n v="87"/>
    <n v="51"/>
    <n v="39"/>
    <n v="164"/>
    <n v="505"/>
    <n v="41"/>
    <n v="196"/>
    <n v="81"/>
    <n v="542"/>
    <n v="56"/>
    <n v="164"/>
    <n v="119"/>
  </r>
  <r>
    <x v="0"/>
    <x v="2"/>
    <x v="2"/>
    <x v="2"/>
    <n v="58"/>
    <n v="0.48"/>
    <n v="1.25"/>
    <n v="72.5"/>
    <n v="39.9"/>
    <n v="31"/>
    <n v="71"/>
    <n v="103"/>
    <n v="103"/>
    <n v="109"/>
    <n v="128"/>
    <n v="115"/>
    <n v="106"/>
    <n v="99"/>
    <n v="87"/>
    <n v="63"/>
    <n v="41"/>
    <n v="33"/>
    <n v="33"/>
    <n v="160"/>
    <n v="45"/>
    <n v="136"/>
    <n v="313"/>
    <n v="37"/>
    <n v="146"/>
    <n v="46"/>
    <n v="292"/>
    <n v="16"/>
  </r>
  <r>
    <x v="0"/>
    <x v="2"/>
    <x v="2"/>
    <x v="1"/>
    <n v="46"/>
    <n v="0.77"/>
    <n v="1.25"/>
    <n v="57.5"/>
    <n v="18.899999999999999"/>
    <n v="71"/>
    <n v="113"/>
    <n v="44"/>
    <n v="68"/>
    <n v="96"/>
    <n v="97"/>
    <n v="47"/>
    <n v="77"/>
    <n v="113"/>
    <n v="48"/>
    <n v="67"/>
    <n v="55"/>
    <n v="54"/>
    <n v="53"/>
    <n v="8"/>
    <n v="97"/>
    <n v="160"/>
    <n v="166"/>
    <n v="76"/>
    <n v="80"/>
    <n v="324"/>
    <n v="152"/>
    <n v="38"/>
  </r>
  <r>
    <x v="0"/>
    <x v="2"/>
    <x v="2"/>
    <x v="2"/>
    <n v="50"/>
    <n v="0.4"/>
    <n v="1.25"/>
    <n v="62.5"/>
    <n v="43.05"/>
    <n v="32"/>
    <n v="55"/>
    <n v="61"/>
    <n v="108"/>
    <n v="67"/>
    <n v="72"/>
    <n v="131"/>
    <n v="75"/>
    <n v="55"/>
    <n v="49"/>
    <n v="67"/>
    <n v="37"/>
    <n v="22"/>
    <n v="314"/>
    <n v="46"/>
    <n v="72"/>
    <n v="80"/>
    <n v="78"/>
    <n v="259"/>
    <n v="514"/>
    <n v="199"/>
    <n v="21"/>
    <n v="6"/>
  </r>
  <r>
    <x v="0"/>
    <x v="3"/>
    <x v="3"/>
    <x v="0"/>
    <n v="78"/>
    <n v="0.78"/>
    <n v="1.25"/>
    <n v="97.5"/>
    <n v="33.6"/>
    <n v="73"/>
    <n v="90"/>
    <n v="95"/>
    <n v="124"/>
    <n v="77"/>
    <n v="44"/>
    <n v="83"/>
    <n v="103"/>
    <n v="64"/>
    <n v="48"/>
    <n v="53"/>
    <n v="67"/>
    <n v="57"/>
    <n v="88"/>
    <n v="51"/>
    <n v="65"/>
    <n v="63"/>
    <n v="132"/>
    <n v="96"/>
    <n v="310"/>
    <n v="69"/>
    <n v="227"/>
    <n v="187"/>
  </r>
  <r>
    <x v="0"/>
    <x v="3"/>
    <x v="3"/>
    <x v="0"/>
    <n v="64"/>
    <n v="0.43"/>
    <n v="1.25"/>
    <n v="80"/>
    <n v="22.05"/>
    <n v="73"/>
    <n v="56"/>
    <n v="40"/>
    <n v="105"/>
    <n v="60"/>
    <n v="59"/>
    <n v="101"/>
    <n v="127"/>
    <n v="150"/>
    <n v="89"/>
    <n v="70"/>
    <n v="59"/>
    <n v="63"/>
    <n v="235"/>
    <n v="105"/>
    <n v="690"/>
    <n v="45"/>
    <n v="336"/>
    <n v="176"/>
    <n v="312"/>
    <n v="56"/>
    <n v="35"/>
    <n v="141"/>
  </r>
  <r>
    <x v="0"/>
    <x v="3"/>
    <x v="3"/>
    <x v="2"/>
    <n v="48"/>
    <n v="0.34"/>
    <n v="1.25"/>
    <n v="60"/>
    <n v="55.65"/>
    <n v="76"/>
    <n v="97"/>
    <n v="100"/>
    <n v="74"/>
    <n v="88"/>
    <n v="93"/>
    <n v="76"/>
    <n v="124"/>
    <n v="91"/>
    <n v="90"/>
    <n v="38"/>
    <n v="43"/>
    <n v="18"/>
    <n v="130"/>
    <n v="46"/>
    <n v="395"/>
    <n v="188"/>
    <n v="126"/>
    <n v="69"/>
    <n v="30"/>
    <n v="93"/>
    <n v="86"/>
    <n v="186"/>
  </r>
  <r>
    <x v="0"/>
    <x v="3"/>
    <x v="3"/>
    <x v="1"/>
    <n v="70"/>
    <n v="0.36"/>
    <n v="1.25"/>
    <n v="87.5"/>
    <n v="51.45"/>
    <n v="47"/>
    <n v="107"/>
    <n v="62"/>
    <n v="85"/>
    <n v="46"/>
    <n v="47"/>
    <n v="68"/>
    <n v="116"/>
    <n v="52"/>
    <n v="58"/>
    <n v="65"/>
    <n v="58"/>
    <n v="102"/>
    <n v="87"/>
    <n v="63"/>
    <n v="485"/>
    <n v="109"/>
    <n v="56"/>
    <n v="83"/>
    <n v="676"/>
    <n v="63"/>
    <n v="206"/>
    <n v="79"/>
  </r>
  <r>
    <x v="0"/>
    <x v="4"/>
    <x v="4"/>
    <x v="0"/>
    <n v="33"/>
    <n v="0.66"/>
    <n v="1.25"/>
    <n v="41.25"/>
    <n v="25.2"/>
    <n v="43"/>
    <n v="77"/>
    <n v="96"/>
    <n v="104"/>
    <n v="59"/>
    <n v="99"/>
    <n v="129"/>
    <n v="88"/>
    <n v="60"/>
    <n v="86"/>
    <n v="37"/>
    <n v="95"/>
    <n v="92"/>
    <n v="85"/>
    <n v="122"/>
    <n v="285"/>
    <n v="115"/>
    <n v="397"/>
    <n v="100"/>
    <n v="46"/>
    <n v="34"/>
    <n v="243"/>
    <n v="54"/>
  </r>
  <r>
    <x v="0"/>
    <x v="4"/>
    <x v="4"/>
    <x v="2"/>
    <n v="48"/>
    <n v="0.51"/>
    <n v="1.25"/>
    <n v="60"/>
    <n v="39.9"/>
    <n v="81"/>
    <n v="62"/>
    <n v="60"/>
    <n v="50"/>
    <n v="90"/>
    <n v="64"/>
    <n v="83"/>
    <n v="80"/>
    <n v="104"/>
    <n v="86"/>
    <n v="29"/>
    <n v="66"/>
    <n v="31"/>
    <n v="50"/>
    <n v="360"/>
    <n v="102"/>
    <n v="339"/>
    <n v="186"/>
    <n v="27"/>
    <n v="100"/>
    <n v="16"/>
    <n v="40"/>
    <n v="19"/>
  </r>
  <r>
    <x v="0"/>
    <x v="4"/>
    <x v="4"/>
    <x v="0"/>
    <n v="66"/>
    <n v="0.52"/>
    <n v="1.25"/>
    <n v="82.5"/>
    <n v="46.2"/>
    <n v="72"/>
    <n v="85"/>
    <n v="99"/>
    <n v="78"/>
    <n v="92"/>
    <n v="63"/>
    <n v="54"/>
    <n v="89"/>
    <n v="70"/>
    <n v="101"/>
    <n v="54"/>
    <n v="81"/>
    <n v="21"/>
    <n v="189"/>
    <n v="324"/>
    <n v="512"/>
    <n v="44"/>
    <n v="139"/>
    <n v="143"/>
    <n v="86"/>
    <n v="56"/>
    <n v="149"/>
    <n v="53"/>
  </r>
  <r>
    <x v="0"/>
    <x v="4"/>
    <x v="4"/>
    <x v="0"/>
    <n v="45"/>
    <n v="0.7"/>
    <n v="1.25"/>
    <n v="56.25"/>
    <n v="49.35"/>
    <n v="64"/>
    <n v="40"/>
    <n v="88"/>
    <n v="120"/>
    <n v="112"/>
    <n v="47"/>
    <n v="55"/>
    <n v="45"/>
    <n v="53"/>
    <n v="86"/>
    <n v="41"/>
    <n v="45"/>
    <n v="76"/>
    <n v="374"/>
    <n v="96"/>
    <n v="220"/>
    <n v="198"/>
    <n v="219"/>
    <n v="130"/>
    <n v="432"/>
    <n v="83"/>
    <n v="130"/>
    <n v="120"/>
  </r>
  <r>
    <x v="0"/>
    <x v="5"/>
    <x v="5"/>
    <x v="3"/>
    <n v="86"/>
    <n v="0.52"/>
    <n v="1.25"/>
    <n v="107.5"/>
    <n v="24.15"/>
    <n v="28"/>
    <n v="50"/>
    <n v="105"/>
    <n v="117"/>
    <n v="108"/>
    <n v="44"/>
    <n v="76"/>
    <n v="87"/>
    <n v="53"/>
    <n v="97"/>
    <n v="39"/>
    <n v="67"/>
    <n v="106"/>
    <n v="28"/>
    <n v="147"/>
    <n v="265"/>
    <n v="59"/>
    <n v="54"/>
    <n v="98"/>
    <n v="212"/>
    <n v="35"/>
    <n v="39"/>
    <n v="23"/>
  </r>
  <r>
    <x v="0"/>
    <x v="5"/>
    <x v="5"/>
    <x v="3"/>
    <n v="74"/>
    <n v="0.51"/>
    <n v="1.25"/>
    <n v="92.5"/>
    <n v="51.45"/>
    <n v="79"/>
    <n v="51"/>
    <n v="88"/>
    <n v="104"/>
    <n v="78"/>
    <n v="105"/>
    <n v="128"/>
    <n v="54"/>
    <n v="95"/>
    <n v="72"/>
    <n v="46"/>
    <n v="71"/>
    <n v="117"/>
    <n v="85"/>
    <n v="106"/>
    <n v="72"/>
    <n v="136"/>
    <n v="393"/>
    <n v="23"/>
    <n v="352"/>
    <n v="38"/>
    <n v="157"/>
    <n v="83"/>
  </r>
  <r>
    <x v="0"/>
    <x v="5"/>
    <x v="5"/>
    <x v="0"/>
    <n v="46"/>
    <n v="0.37"/>
    <n v="1.25"/>
    <n v="57.5"/>
    <n v="12.6"/>
    <n v="60"/>
    <n v="103"/>
    <n v="72"/>
    <n v="60"/>
    <n v="61"/>
    <n v="50"/>
    <n v="71"/>
    <n v="114"/>
    <n v="88"/>
    <n v="86"/>
    <n v="30"/>
    <n v="38"/>
    <n v="27"/>
    <n v="312"/>
    <n v="89"/>
    <n v="470"/>
    <n v="132"/>
    <n v="308"/>
    <n v="40"/>
    <n v="386"/>
    <n v="242"/>
    <n v="64"/>
    <n v="25"/>
  </r>
  <r>
    <x v="0"/>
    <x v="5"/>
    <x v="5"/>
    <x v="1"/>
    <n v="30"/>
    <n v="0.57999999999999996"/>
    <n v="1.25"/>
    <n v="37.5"/>
    <n v="12.6"/>
    <n v="70"/>
    <n v="39"/>
    <n v="40"/>
    <n v="140"/>
    <n v="49"/>
    <n v="47"/>
    <n v="115"/>
    <n v="50"/>
    <n v="55"/>
    <n v="39"/>
    <n v="26"/>
    <n v="97"/>
    <n v="70"/>
    <n v="354"/>
    <n v="222"/>
    <n v="562"/>
    <n v="337"/>
    <n v="101"/>
    <n v="35"/>
    <n v="194"/>
    <n v="21"/>
    <n v="119"/>
    <n v="8"/>
  </r>
  <r>
    <x v="0"/>
    <x v="6"/>
    <x v="6"/>
    <x v="2"/>
    <n v="102"/>
    <n v="0.76"/>
    <n v="1.25"/>
    <n v="127.5"/>
    <n v="28.35"/>
    <n v="39"/>
    <n v="79"/>
    <n v="71"/>
    <n v="131"/>
    <n v="101"/>
    <n v="128"/>
    <n v="46"/>
    <n v="101"/>
    <n v="75"/>
    <n v="87"/>
    <n v="41"/>
    <n v="73"/>
    <n v="120"/>
    <n v="206"/>
    <n v="144"/>
    <n v="195"/>
    <n v="39"/>
    <n v="76"/>
    <n v="57"/>
    <n v="188"/>
    <n v="364"/>
    <n v="21"/>
    <n v="118"/>
  </r>
  <r>
    <x v="0"/>
    <x v="6"/>
    <x v="6"/>
    <x v="2"/>
    <n v="102"/>
    <n v="0.6"/>
    <n v="1.0294117647058822"/>
    <n v="105"/>
    <n v="44.1"/>
    <n v="66"/>
    <n v="75"/>
    <n v="88"/>
    <n v="77"/>
    <n v="100"/>
    <n v="97"/>
    <n v="79"/>
    <n v="91"/>
    <n v="124"/>
    <n v="94"/>
    <n v="49"/>
    <n v="73"/>
    <n v="25"/>
    <n v="202"/>
    <n v="76"/>
    <n v="395"/>
    <n v="10"/>
    <n v="53"/>
    <n v="119"/>
    <n v="240"/>
    <n v="282"/>
    <n v="116"/>
    <n v="68"/>
  </r>
  <r>
    <x v="0"/>
    <x v="6"/>
    <x v="6"/>
    <x v="3"/>
    <n v="102"/>
    <n v="0.44"/>
    <n v="0.66176470588235292"/>
    <n v="67.5"/>
    <n v="56.7"/>
    <n v="37"/>
    <n v="86"/>
    <n v="101"/>
    <n v="113"/>
    <n v="55"/>
    <n v="92"/>
    <n v="134"/>
    <n v="74"/>
    <n v="133"/>
    <n v="74"/>
    <n v="68"/>
    <n v="96"/>
    <n v="125"/>
    <n v="319"/>
    <n v="80"/>
    <n v="172"/>
    <n v="108"/>
    <n v="122"/>
    <n v="86"/>
    <n v="152"/>
    <n v="25"/>
    <n v="220"/>
    <n v="165"/>
  </r>
  <r>
    <x v="0"/>
    <x v="6"/>
    <x v="6"/>
    <x v="3"/>
    <n v="102"/>
    <n v="0.79"/>
    <n v="1.2254901960784315"/>
    <n v="125"/>
    <n v="42"/>
    <n v="61"/>
    <n v="112"/>
    <n v="94"/>
    <n v="104"/>
    <n v="52"/>
    <n v="122"/>
    <n v="112"/>
    <n v="62"/>
    <n v="148"/>
    <n v="51"/>
    <n v="35"/>
    <n v="69"/>
    <n v="110"/>
    <n v="182"/>
    <n v="315"/>
    <n v="17"/>
    <n v="15"/>
    <n v="214"/>
    <n v="75"/>
    <n v="752"/>
    <n v="84"/>
    <n v="158"/>
    <n v="182"/>
  </r>
  <r>
    <x v="0"/>
    <x v="7"/>
    <x v="7"/>
    <x v="2"/>
    <n v="90"/>
    <n v="0.55000000000000004"/>
    <n v="1.25"/>
    <n v="112.5"/>
    <n v="55.65"/>
    <n v="80"/>
    <n v="89"/>
    <n v="44"/>
    <n v="113"/>
    <n v="44"/>
    <n v="45"/>
    <n v="134"/>
    <n v="110"/>
    <n v="126"/>
    <n v="52"/>
    <n v="46"/>
    <n v="88"/>
    <n v="38"/>
    <n v="232"/>
    <n v="40"/>
    <n v="192"/>
    <n v="30"/>
    <n v="241"/>
    <n v="263"/>
    <n v="452"/>
    <n v="95"/>
    <n v="62"/>
    <n v="53"/>
  </r>
  <r>
    <x v="0"/>
    <x v="7"/>
    <x v="7"/>
    <x v="1"/>
    <n v="98"/>
    <n v="0.34"/>
    <n v="1.25"/>
    <n v="122.5"/>
    <n v="43.05"/>
    <n v="58"/>
    <n v="65"/>
    <n v="53"/>
    <n v="134"/>
    <n v="93"/>
    <n v="125"/>
    <n v="125"/>
    <n v="63"/>
    <n v="142"/>
    <n v="53"/>
    <n v="56"/>
    <n v="91"/>
    <n v="68"/>
    <n v="85"/>
    <n v="138"/>
    <n v="110"/>
    <n v="39"/>
    <n v="140"/>
    <n v="135"/>
    <n v="594"/>
    <n v="76"/>
    <n v="164"/>
    <n v="31"/>
  </r>
  <r>
    <x v="0"/>
    <x v="7"/>
    <x v="7"/>
    <x v="2"/>
    <n v="89"/>
    <n v="0.3"/>
    <n v="1.25"/>
    <n v="111.25"/>
    <n v="33.6"/>
    <n v="50"/>
    <n v="97"/>
    <n v="97"/>
    <n v="110"/>
    <n v="102"/>
    <n v="122"/>
    <n v="115"/>
    <n v="123"/>
    <n v="87"/>
    <n v="50"/>
    <n v="58"/>
    <n v="94"/>
    <n v="112"/>
    <n v="104"/>
    <n v="116"/>
    <n v="730"/>
    <n v="334"/>
    <n v="44"/>
    <n v="86"/>
    <n v="124"/>
    <n v="162"/>
    <n v="184"/>
    <n v="23"/>
  </r>
  <r>
    <x v="0"/>
    <x v="7"/>
    <x v="7"/>
    <x v="2"/>
    <n v="75"/>
    <n v="0.71"/>
    <n v="1.25"/>
    <n v="93.75"/>
    <n v="32.549999999999997"/>
    <n v="47"/>
    <n v="63"/>
    <n v="80"/>
    <n v="121"/>
    <n v="60"/>
    <n v="124"/>
    <n v="98"/>
    <n v="85"/>
    <n v="79"/>
    <n v="38"/>
    <n v="50"/>
    <n v="94"/>
    <n v="102"/>
    <n v="39"/>
    <n v="205"/>
    <n v="197"/>
    <n v="49"/>
    <n v="150"/>
    <n v="276"/>
    <n v="422"/>
    <n v="56"/>
    <n v="205"/>
    <n v="9"/>
  </r>
  <r>
    <x v="0"/>
    <x v="8"/>
    <x v="8"/>
    <x v="2"/>
    <n v="72"/>
    <n v="0.43"/>
    <n v="1.25"/>
    <n v="90"/>
    <n v="29.4"/>
    <n v="78"/>
    <n v="85"/>
    <n v="78"/>
    <n v="83"/>
    <n v="54"/>
    <n v="86"/>
    <n v="60"/>
    <n v="62"/>
    <n v="57"/>
    <n v="71"/>
    <n v="64"/>
    <n v="46"/>
    <n v="96"/>
    <n v="417"/>
    <n v="28"/>
    <n v="275"/>
    <n v="359"/>
    <n v="192"/>
    <n v="149"/>
    <n v="50"/>
    <n v="200"/>
    <n v="9"/>
    <n v="20"/>
  </r>
  <r>
    <x v="0"/>
    <x v="8"/>
    <x v="8"/>
    <x v="0"/>
    <n v="52"/>
    <n v="0.54"/>
    <n v="1.25"/>
    <n v="65"/>
    <n v="58.8"/>
    <n v="51"/>
    <n v="107"/>
    <n v="66"/>
    <n v="96"/>
    <n v="85"/>
    <n v="78"/>
    <n v="124"/>
    <n v="60"/>
    <n v="59"/>
    <n v="79"/>
    <n v="30"/>
    <n v="70"/>
    <n v="36"/>
    <n v="136"/>
    <n v="315"/>
    <n v="725"/>
    <n v="80"/>
    <n v="199"/>
    <n v="90"/>
    <n v="320"/>
    <n v="44"/>
    <n v="207"/>
    <n v="11"/>
  </r>
  <r>
    <x v="0"/>
    <x v="8"/>
    <x v="8"/>
    <x v="0"/>
    <n v="56"/>
    <n v="0.51"/>
    <n v="1.25"/>
    <n v="70"/>
    <n v="58.8"/>
    <n v="29"/>
    <n v="88"/>
    <n v="39"/>
    <n v="119"/>
    <n v="90"/>
    <n v="70"/>
    <n v="56"/>
    <n v="61"/>
    <n v="130"/>
    <n v="43"/>
    <n v="55"/>
    <n v="97"/>
    <n v="96"/>
    <n v="343"/>
    <n v="284"/>
    <n v="190"/>
    <n v="120"/>
    <n v="288"/>
    <n v="48"/>
    <n v="148"/>
    <n v="98"/>
    <n v="131"/>
    <n v="60"/>
  </r>
  <r>
    <x v="0"/>
    <x v="8"/>
    <x v="8"/>
    <x v="2"/>
    <n v="40"/>
    <n v="0.79"/>
    <n v="1.25"/>
    <n v="50"/>
    <n v="30.45"/>
    <n v="63"/>
    <n v="99"/>
    <n v="35"/>
    <n v="85"/>
    <n v="71"/>
    <n v="67"/>
    <n v="62"/>
    <n v="126"/>
    <n v="122"/>
    <n v="50"/>
    <n v="60"/>
    <n v="75"/>
    <n v="52"/>
    <n v="417"/>
    <n v="141"/>
    <n v="840"/>
    <n v="187"/>
    <n v="100"/>
    <n v="86"/>
    <n v="44"/>
    <n v="56"/>
    <n v="160"/>
    <n v="50"/>
  </r>
  <r>
    <x v="0"/>
    <x v="9"/>
    <x v="9"/>
    <x v="0"/>
    <n v="74"/>
    <n v="0.69"/>
    <n v="1.25"/>
    <n v="92.5"/>
    <n v="29.4"/>
    <n v="67"/>
    <n v="99"/>
    <n v="40"/>
    <n v="80"/>
    <n v="93"/>
    <n v="111"/>
    <n v="134"/>
    <n v="111"/>
    <n v="126"/>
    <n v="60"/>
    <n v="60"/>
    <n v="56"/>
    <n v="134"/>
    <n v="172"/>
    <n v="54"/>
    <n v="937"/>
    <n v="98"/>
    <n v="211"/>
    <n v="215"/>
    <n v="44"/>
    <n v="68"/>
    <n v="21"/>
    <n v="25"/>
  </r>
  <r>
    <x v="0"/>
    <x v="9"/>
    <x v="9"/>
    <x v="3"/>
    <n v="22"/>
    <n v="0.46"/>
    <n v="1.25"/>
    <n v="27.5"/>
    <n v="56.7"/>
    <n v="36"/>
    <n v="77"/>
    <n v="90"/>
    <n v="90"/>
    <n v="39"/>
    <n v="68"/>
    <n v="90"/>
    <n v="106"/>
    <n v="68"/>
    <n v="69"/>
    <n v="53"/>
    <n v="77"/>
    <n v="78"/>
    <n v="159"/>
    <n v="4"/>
    <n v="295"/>
    <n v="129"/>
    <n v="18"/>
    <n v="130"/>
    <n v="60"/>
    <n v="328"/>
    <n v="20"/>
    <n v="96"/>
  </r>
  <r>
    <x v="0"/>
    <x v="9"/>
    <x v="9"/>
    <x v="3"/>
    <n v="92"/>
    <n v="0.61"/>
    <n v="1.25"/>
    <n v="115"/>
    <n v="47.25"/>
    <n v="48"/>
    <n v="104"/>
    <n v="88"/>
    <n v="135"/>
    <n v="74"/>
    <n v="104"/>
    <n v="57"/>
    <n v="112"/>
    <n v="122"/>
    <n v="58"/>
    <n v="43"/>
    <n v="80"/>
    <n v="63"/>
    <n v="128"/>
    <n v="66"/>
    <n v="115"/>
    <n v="180"/>
    <n v="183"/>
    <n v="183"/>
    <n v="440"/>
    <n v="98"/>
    <n v="158"/>
    <n v="47"/>
  </r>
  <r>
    <x v="0"/>
    <x v="9"/>
    <x v="9"/>
    <x v="2"/>
    <n v="92"/>
    <n v="0.77"/>
    <n v="1.25"/>
    <n v="115"/>
    <n v="17.850000000000001"/>
    <n v="47"/>
    <n v="112"/>
    <n v="68"/>
    <n v="72"/>
    <n v="41"/>
    <n v="110"/>
    <n v="69"/>
    <n v="54"/>
    <n v="79"/>
    <n v="98"/>
    <n v="65"/>
    <n v="46"/>
    <n v="45"/>
    <n v="338"/>
    <n v="264"/>
    <n v="577"/>
    <n v="43"/>
    <n v="52"/>
    <n v="63"/>
    <n v="288"/>
    <n v="44"/>
    <n v="130"/>
    <n v="105"/>
  </r>
  <r>
    <x v="0"/>
    <x v="10"/>
    <x v="10"/>
    <x v="0"/>
    <n v="87"/>
    <n v="0.53"/>
    <n v="1.25"/>
    <n v="108.75"/>
    <n v="37.799999999999997"/>
    <n v="81"/>
    <n v="39"/>
    <n v="97"/>
    <n v="88"/>
    <n v="105"/>
    <n v="89"/>
    <n v="95"/>
    <n v="75"/>
    <n v="124"/>
    <n v="78"/>
    <n v="28"/>
    <n v="44"/>
    <n v="121"/>
    <n v="35"/>
    <n v="66"/>
    <n v="415"/>
    <n v="72"/>
    <n v="115"/>
    <n v="83"/>
    <n v="408"/>
    <n v="303"/>
    <n v="136"/>
    <n v="12"/>
  </r>
  <r>
    <x v="0"/>
    <x v="10"/>
    <x v="10"/>
    <x v="1"/>
    <n v="40"/>
    <n v="0.67"/>
    <n v="1.25"/>
    <n v="50"/>
    <n v="57.75"/>
    <n v="55"/>
    <n v="45"/>
    <n v="53"/>
    <n v="114"/>
    <n v="107"/>
    <n v="69"/>
    <n v="66"/>
    <n v="59"/>
    <n v="81"/>
    <n v="70"/>
    <n v="57"/>
    <n v="67"/>
    <n v="98"/>
    <n v="10"/>
    <n v="234"/>
    <n v="697"/>
    <n v="182"/>
    <n v="278"/>
    <n v="123"/>
    <n v="114"/>
    <n v="92"/>
    <n v="152"/>
    <n v="84"/>
  </r>
  <r>
    <x v="0"/>
    <x v="10"/>
    <x v="10"/>
    <x v="2"/>
    <n v="71"/>
    <n v="0.47"/>
    <n v="1.25"/>
    <n v="88.75"/>
    <n v="25.2"/>
    <n v="57"/>
    <n v="94"/>
    <n v="63"/>
    <n v="143"/>
    <n v="83"/>
    <n v="74"/>
    <n v="47"/>
    <n v="58"/>
    <n v="137"/>
    <n v="94"/>
    <n v="37"/>
    <n v="74"/>
    <n v="21"/>
    <n v="97"/>
    <n v="133"/>
    <n v="255"/>
    <n v="62"/>
    <n v="67"/>
    <n v="58"/>
    <n v="700"/>
    <n v="232"/>
    <n v="106"/>
    <n v="165"/>
  </r>
  <r>
    <x v="0"/>
    <x v="10"/>
    <x v="10"/>
    <x v="2"/>
    <n v="34"/>
    <n v="0.73"/>
    <n v="1.25"/>
    <n v="42.5"/>
    <n v="34.65"/>
    <n v="29"/>
    <n v="94"/>
    <n v="36"/>
    <n v="105"/>
    <n v="65"/>
    <n v="68"/>
    <n v="52"/>
    <n v="94"/>
    <n v="140"/>
    <n v="71"/>
    <n v="74"/>
    <n v="72"/>
    <n v="60"/>
    <n v="176"/>
    <n v="222"/>
    <n v="472"/>
    <n v="23"/>
    <n v="29"/>
    <n v="61"/>
    <n v="410"/>
    <n v="263"/>
    <n v="135"/>
    <n v="62"/>
  </r>
  <r>
    <x v="0"/>
    <x v="11"/>
    <x v="11"/>
    <x v="0"/>
    <n v="90"/>
    <n v="0.57999999999999996"/>
    <n v="1.25"/>
    <n v="112.5"/>
    <n v="12.6"/>
    <n v="61"/>
    <n v="79"/>
    <n v="94"/>
    <n v="77"/>
    <n v="50"/>
    <n v="110"/>
    <n v="106"/>
    <n v="119"/>
    <n v="148"/>
    <n v="50"/>
    <n v="53"/>
    <n v="72"/>
    <n v="82"/>
    <n v="283"/>
    <n v="37"/>
    <n v="265"/>
    <n v="190"/>
    <n v="88"/>
    <n v="125"/>
    <n v="344"/>
    <n v="138"/>
    <n v="13"/>
    <n v="47"/>
  </r>
  <r>
    <x v="0"/>
    <x v="11"/>
    <x v="11"/>
    <x v="3"/>
    <n v="101"/>
    <n v="0.59"/>
    <n v="1.25"/>
    <n v="126.25"/>
    <n v="18.899999999999999"/>
    <n v="57"/>
    <n v="84"/>
    <n v="85"/>
    <n v="138"/>
    <n v="111"/>
    <n v="44"/>
    <n v="133"/>
    <n v="120"/>
    <n v="111"/>
    <n v="84"/>
    <n v="74"/>
    <n v="53"/>
    <n v="115"/>
    <n v="235"/>
    <n v="191"/>
    <n v="220"/>
    <n v="338"/>
    <n v="75"/>
    <n v="133"/>
    <n v="128"/>
    <n v="6"/>
    <n v="151"/>
    <n v="68"/>
  </r>
  <r>
    <x v="0"/>
    <x v="11"/>
    <x v="11"/>
    <x v="2"/>
    <n v="58"/>
    <n v="0.3"/>
    <n v="1.25"/>
    <n v="72.5"/>
    <n v="57.75"/>
    <n v="59"/>
    <n v="73"/>
    <n v="96"/>
    <n v="135"/>
    <n v="71"/>
    <n v="116"/>
    <n v="113"/>
    <n v="70"/>
    <n v="144"/>
    <n v="86"/>
    <n v="71"/>
    <n v="37"/>
    <n v="97"/>
    <n v="63"/>
    <n v="17"/>
    <n v="592"/>
    <n v="194"/>
    <n v="145"/>
    <n v="234"/>
    <n v="24"/>
    <n v="63"/>
    <n v="154"/>
    <n v="60"/>
  </r>
  <r>
    <x v="0"/>
    <x v="11"/>
    <x v="11"/>
    <x v="1"/>
    <n v="51"/>
    <n v="0.35"/>
    <n v="1.25"/>
    <n v="63.75"/>
    <n v="17.850000000000001"/>
    <n v="66"/>
    <n v="69"/>
    <n v="48"/>
    <n v="80"/>
    <n v="41"/>
    <n v="126"/>
    <n v="111"/>
    <n v="83"/>
    <n v="114"/>
    <n v="94"/>
    <n v="72"/>
    <n v="33"/>
    <n v="66"/>
    <n v="119"/>
    <n v="47"/>
    <n v="492"/>
    <n v="16"/>
    <n v="337"/>
    <n v="55"/>
    <n v="270"/>
    <n v="63"/>
    <n v="74"/>
    <n v="174"/>
  </r>
  <r>
    <x v="1"/>
    <x v="0"/>
    <x v="0"/>
    <x v="2"/>
    <n v="29"/>
    <n v="0.51"/>
    <n v="2.8448275862068964"/>
    <n v="82.5"/>
    <n v="16.8"/>
    <n v="68"/>
    <n v="131"/>
    <n v="32"/>
    <n v="120"/>
    <n v="37"/>
    <n v="39"/>
    <n v="66"/>
    <n v="50"/>
    <n v="134"/>
    <n v="62"/>
    <n v="94"/>
    <n v="112"/>
    <n v="75"/>
    <n v="352"/>
    <n v="103"/>
    <n v="325"/>
    <n v="286"/>
    <n v="374"/>
    <n v="7"/>
    <n v="26"/>
    <n v="12"/>
    <n v="111"/>
    <n v="345"/>
  </r>
  <r>
    <x v="1"/>
    <x v="0"/>
    <x v="0"/>
    <x v="2"/>
    <n v="65"/>
    <n v="0.4"/>
    <n v="1.1730769230769231"/>
    <n v="76.25"/>
    <n v="27.3"/>
    <n v="138"/>
    <n v="37"/>
    <n v="39"/>
    <n v="82"/>
    <n v="51"/>
    <n v="65"/>
    <n v="96"/>
    <n v="63"/>
    <n v="62"/>
    <n v="44"/>
    <n v="65"/>
    <n v="54"/>
    <n v="36"/>
    <n v="52"/>
    <n v="358"/>
    <n v="454"/>
    <n v="33"/>
    <n v="354"/>
    <n v="225"/>
    <n v="30"/>
    <n v="23"/>
    <n v="382"/>
    <n v="68"/>
  </r>
  <r>
    <x v="1"/>
    <x v="0"/>
    <x v="0"/>
    <x v="0"/>
    <n v="36"/>
    <n v="0.29000000000000004"/>
    <n v="1.0763888888888888"/>
    <n v="38.75"/>
    <n v="25.2"/>
    <n v="90"/>
    <n v="103"/>
    <n v="50"/>
    <n v="50"/>
    <n v="76"/>
    <n v="35"/>
    <n v="36"/>
    <n v="49"/>
    <n v="54"/>
    <n v="73"/>
    <n v="71"/>
    <n v="77"/>
    <n v="90"/>
    <n v="106"/>
    <n v="216"/>
    <n v="420"/>
    <n v="45"/>
    <n v="197"/>
    <n v="139"/>
    <n v="73"/>
    <n v="232"/>
    <n v="165"/>
    <n v="178"/>
  </r>
  <r>
    <x v="1"/>
    <x v="0"/>
    <x v="0"/>
    <x v="1"/>
    <n v="51"/>
    <n v="0.28000000000000003"/>
    <n v="2.5245098039215685"/>
    <n v="128.75"/>
    <n v="10.5"/>
    <n v="140"/>
    <n v="57"/>
    <n v="81"/>
    <n v="92"/>
    <n v="91"/>
    <n v="97"/>
    <n v="55"/>
    <n v="115"/>
    <n v="59"/>
    <n v="74"/>
    <n v="45"/>
    <n v="81"/>
    <n v="77"/>
    <n v="286"/>
    <n v="90"/>
    <n v="191"/>
    <n v="246"/>
    <n v="237"/>
    <n v="146"/>
    <n v="210"/>
    <n v="119"/>
    <n v="98"/>
    <n v="189"/>
  </r>
  <r>
    <x v="1"/>
    <x v="1"/>
    <x v="1"/>
    <x v="0"/>
    <n v="27"/>
    <n v="0.46000000000000008"/>
    <n v="5.6481481481481479"/>
    <n v="152.5"/>
    <n v="48.3"/>
    <n v="69"/>
    <n v="117"/>
    <n v="96"/>
    <n v="35"/>
    <n v="67"/>
    <n v="43"/>
    <n v="58"/>
    <n v="71"/>
    <n v="84"/>
    <n v="87"/>
    <n v="106"/>
    <n v="60"/>
    <n v="40"/>
    <n v="101"/>
    <n v="39"/>
    <n v="40"/>
    <n v="13"/>
    <n v="18"/>
    <n v="152"/>
    <n v="62"/>
    <n v="122"/>
    <n v="134"/>
    <n v="10"/>
  </r>
  <r>
    <x v="1"/>
    <x v="1"/>
    <x v="1"/>
    <x v="1"/>
    <n v="94"/>
    <n v="0.54"/>
    <n v="0.81117021276595747"/>
    <n v="76.25"/>
    <n v="48.3"/>
    <n v="98"/>
    <n v="118"/>
    <n v="70"/>
    <n v="54"/>
    <n v="43"/>
    <n v="49"/>
    <n v="138"/>
    <n v="77"/>
    <n v="78"/>
    <n v="89"/>
    <n v="40"/>
    <n v="56"/>
    <n v="82"/>
    <n v="178"/>
    <n v="151"/>
    <n v="184"/>
    <n v="125"/>
    <n v="146"/>
    <n v="85"/>
    <n v="468"/>
    <n v="31"/>
    <n v="48"/>
    <n v="93"/>
  </r>
  <r>
    <x v="1"/>
    <x v="1"/>
    <x v="1"/>
    <x v="2"/>
    <n v="96"/>
    <n v="0.49"/>
    <n v="0.52083333333333337"/>
    <n v="50"/>
    <n v="32.549999999999997"/>
    <n v="54"/>
    <n v="89"/>
    <n v="79"/>
    <n v="90"/>
    <n v="113"/>
    <n v="114"/>
    <n v="71"/>
    <n v="37"/>
    <n v="39"/>
    <n v="108"/>
    <n v="83"/>
    <n v="135"/>
    <n v="97"/>
    <n v="197"/>
    <n v="261"/>
    <n v="114"/>
    <n v="89"/>
    <n v="484"/>
    <n v="200"/>
    <n v="216"/>
    <n v="35"/>
    <n v="128"/>
    <n v="81"/>
  </r>
  <r>
    <x v="1"/>
    <x v="1"/>
    <x v="1"/>
    <x v="3"/>
    <n v="44"/>
    <n v="0.41000000000000003"/>
    <n v="1.6761363636363635"/>
    <n v="73.75"/>
    <n v="39.9"/>
    <n v="125"/>
    <n v="98"/>
    <n v="123"/>
    <n v="60"/>
    <n v="100"/>
    <n v="45"/>
    <n v="59"/>
    <n v="79"/>
    <n v="61"/>
    <n v="65"/>
    <n v="42"/>
    <n v="49"/>
    <n v="55"/>
    <n v="210"/>
    <n v="3"/>
    <n v="302"/>
    <n v="16"/>
    <n v="82"/>
    <n v="52"/>
    <n v="137"/>
    <n v="274"/>
    <n v="340"/>
    <n v="173"/>
  </r>
  <r>
    <x v="1"/>
    <x v="2"/>
    <x v="2"/>
    <x v="1"/>
    <n v="109"/>
    <n v="0.54"/>
    <n v="0.98623853211009171"/>
    <n v="107.5"/>
    <n v="12.6"/>
    <n v="42"/>
    <n v="98"/>
    <n v="53"/>
    <n v="47"/>
    <n v="102"/>
    <n v="102"/>
    <n v="84"/>
    <n v="108"/>
    <n v="96"/>
    <n v="113"/>
    <n v="87"/>
    <n v="35"/>
    <n v="105"/>
    <n v="68"/>
    <n v="340"/>
    <n v="138"/>
    <n v="456"/>
    <n v="97"/>
    <n v="31"/>
    <n v="23"/>
    <n v="46"/>
    <n v="75"/>
    <n v="349"/>
  </r>
  <r>
    <x v="1"/>
    <x v="2"/>
    <x v="2"/>
    <x v="3"/>
    <n v="29"/>
    <n v="0.48"/>
    <n v="3.7931034482758621"/>
    <n v="110"/>
    <n v="19.95"/>
    <n v="70"/>
    <n v="77"/>
    <n v="97"/>
    <n v="52"/>
    <n v="43"/>
    <n v="141"/>
    <n v="71"/>
    <n v="25"/>
    <n v="113"/>
    <n v="80"/>
    <n v="75"/>
    <n v="30"/>
    <n v="66"/>
    <n v="156"/>
    <n v="467"/>
    <n v="15"/>
    <n v="354"/>
    <n v="71"/>
    <n v="40"/>
    <n v="43"/>
    <n v="67"/>
    <n v="163"/>
    <n v="57"/>
  </r>
  <r>
    <x v="1"/>
    <x v="2"/>
    <x v="2"/>
    <x v="0"/>
    <n v="28"/>
    <n v="0.24999999999999997"/>
    <n v="5.5357142857142856"/>
    <n v="155"/>
    <n v="24.15"/>
    <n v="86"/>
    <n v="82"/>
    <n v="101"/>
    <n v="68"/>
    <n v="131"/>
    <n v="61"/>
    <n v="80"/>
    <n v="39"/>
    <n v="91"/>
    <n v="35"/>
    <n v="40"/>
    <n v="98"/>
    <n v="47"/>
    <n v="179"/>
    <n v="65"/>
    <n v="196"/>
    <n v="371"/>
    <n v="526"/>
    <n v="221"/>
    <n v="25"/>
    <n v="345"/>
    <n v="61"/>
    <n v="282"/>
  </r>
  <r>
    <x v="1"/>
    <x v="2"/>
    <x v="2"/>
    <x v="2"/>
    <n v="125"/>
    <n v="0.49"/>
    <n v="1.01"/>
    <n v="126.25"/>
    <n v="38.85"/>
    <n v="102"/>
    <n v="52"/>
    <n v="76"/>
    <n v="56"/>
    <n v="75"/>
    <n v="63"/>
    <n v="86"/>
    <n v="67"/>
    <n v="67"/>
    <n v="77"/>
    <n v="43"/>
    <n v="73"/>
    <n v="37"/>
    <n v="5"/>
    <n v="188"/>
    <n v="157"/>
    <n v="61"/>
    <n v="148"/>
    <n v="270"/>
    <n v="113"/>
    <n v="151"/>
    <n v="152"/>
    <n v="368"/>
  </r>
  <r>
    <x v="1"/>
    <x v="3"/>
    <x v="3"/>
    <x v="0"/>
    <n v="28"/>
    <n v="0.41000000000000003"/>
    <n v="1.5178571428571428"/>
    <n v="42.5"/>
    <n v="59.85"/>
    <n v="124"/>
    <n v="31"/>
    <n v="121"/>
    <n v="36"/>
    <n v="118"/>
    <n v="108"/>
    <n v="53"/>
    <n v="37"/>
    <n v="77"/>
    <n v="36"/>
    <n v="133"/>
    <n v="79"/>
    <n v="117"/>
    <n v="429"/>
    <n v="241"/>
    <n v="60"/>
    <n v="422"/>
    <n v="28"/>
    <n v="50"/>
    <n v="117"/>
    <n v="39"/>
    <n v="20"/>
    <n v="78"/>
  </r>
  <r>
    <x v="1"/>
    <x v="3"/>
    <x v="3"/>
    <x v="0"/>
    <n v="98"/>
    <n v="0.38"/>
    <n v="1.1096938775510203"/>
    <n v="108.75"/>
    <n v="57.75"/>
    <n v="53"/>
    <n v="55"/>
    <n v="48"/>
    <n v="69"/>
    <n v="102"/>
    <n v="127"/>
    <n v="47"/>
    <n v="62"/>
    <n v="84"/>
    <n v="75"/>
    <n v="63"/>
    <n v="56"/>
    <n v="58"/>
    <n v="229"/>
    <n v="197"/>
    <n v="69"/>
    <n v="225"/>
    <n v="57"/>
    <n v="338"/>
    <n v="212"/>
    <n v="25"/>
    <n v="63"/>
    <n v="36"/>
  </r>
  <r>
    <x v="1"/>
    <x v="3"/>
    <x v="3"/>
    <x v="2"/>
    <n v="55"/>
    <n v="0.19999999999999998"/>
    <n v="0.65909090909090906"/>
    <n v="36.25"/>
    <n v="19.95"/>
    <n v="105"/>
    <n v="118"/>
    <n v="87"/>
    <n v="45"/>
    <n v="54"/>
    <n v="94"/>
    <n v="47"/>
    <n v="101"/>
    <n v="56"/>
    <n v="80"/>
    <n v="47"/>
    <n v="103"/>
    <n v="82"/>
    <n v="67"/>
    <n v="135"/>
    <n v="291"/>
    <n v="21"/>
    <n v="28"/>
    <n v="542"/>
    <n v="22"/>
    <n v="53"/>
    <n v="168"/>
    <n v="168"/>
  </r>
  <r>
    <x v="1"/>
    <x v="3"/>
    <x v="3"/>
    <x v="3"/>
    <n v="42"/>
    <n v="0.46000000000000008"/>
    <n v="3.6607142857142856"/>
    <n v="153.75"/>
    <n v="46.2"/>
    <n v="36"/>
    <n v="102"/>
    <n v="37"/>
    <n v="99"/>
    <n v="126"/>
    <n v="74"/>
    <n v="102"/>
    <n v="52"/>
    <n v="47"/>
    <n v="47"/>
    <n v="102"/>
    <n v="81"/>
    <n v="92"/>
    <n v="230"/>
    <n v="100"/>
    <n v="85"/>
    <n v="26"/>
    <n v="42"/>
    <n v="93"/>
    <n v="130"/>
    <n v="56"/>
    <n v="203"/>
    <n v="245"/>
  </r>
  <r>
    <x v="1"/>
    <x v="4"/>
    <x v="4"/>
    <x v="2"/>
    <n v="72"/>
    <n v="0.5"/>
    <n v="0.46875"/>
    <n v="33.75"/>
    <n v="50.4"/>
    <n v="110"/>
    <n v="52"/>
    <n v="29"/>
    <n v="95"/>
    <n v="122"/>
    <n v="67"/>
    <n v="63"/>
    <n v="64"/>
    <n v="61"/>
    <n v="38"/>
    <n v="58"/>
    <n v="107"/>
    <n v="110"/>
    <n v="43"/>
    <n v="355"/>
    <n v="57"/>
    <n v="176"/>
    <n v="148"/>
    <n v="35"/>
    <n v="38"/>
    <n v="32"/>
    <n v="175"/>
    <n v="154"/>
  </r>
  <r>
    <x v="1"/>
    <x v="4"/>
    <x v="4"/>
    <x v="3"/>
    <n v="31"/>
    <n v="0.48"/>
    <n v="4.435483870967742"/>
    <n v="137.5"/>
    <n v="57.75"/>
    <n v="56"/>
    <n v="63"/>
    <n v="117"/>
    <n v="114"/>
    <n v="32"/>
    <n v="116"/>
    <n v="36"/>
    <n v="126"/>
    <n v="61"/>
    <n v="60"/>
    <n v="46"/>
    <n v="73"/>
    <n v="68"/>
    <n v="65"/>
    <n v="435"/>
    <n v="80"/>
    <n v="566"/>
    <n v="15"/>
    <n v="21"/>
    <n v="259"/>
    <n v="317"/>
    <n v="367"/>
    <n v="334"/>
  </r>
  <r>
    <x v="1"/>
    <x v="4"/>
    <x v="4"/>
    <x v="1"/>
    <n v="65"/>
    <n v="0.64"/>
    <n v="2.3076923076923075"/>
    <n v="150"/>
    <n v="19.95"/>
    <n v="93"/>
    <n v="55"/>
    <n v="86"/>
    <n v="94"/>
    <n v="83"/>
    <n v="96"/>
    <n v="71"/>
    <n v="77"/>
    <n v="51"/>
    <n v="71"/>
    <n v="57"/>
    <n v="127"/>
    <n v="94"/>
    <n v="44"/>
    <n v="62"/>
    <n v="86"/>
    <n v="222"/>
    <n v="43"/>
    <n v="40"/>
    <n v="112"/>
    <n v="57"/>
    <n v="372"/>
    <n v="116"/>
  </r>
  <r>
    <x v="1"/>
    <x v="4"/>
    <x v="4"/>
    <x v="1"/>
    <n v="28"/>
    <n v="0.46000000000000008"/>
    <n v="5.625"/>
    <n v="157.5"/>
    <n v="10.5"/>
    <n v="99"/>
    <n v="54"/>
    <n v="34"/>
    <n v="57"/>
    <n v="41"/>
    <n v="27"/>
    <n v="58"/>
    <n v="77"/>
    <n v="39"/>
    <n v="60"/>
    <n v="61"/>
    <n v="117"/>
    <n v="120"/>
    <n v="184"/>
    <n v="305"/>
    <n v="420"/>
    <n v="93"/>
    <n v="163"/>
    <n v="25"/>
    <n v="240"/>
    <n v="132"/>
    <n v="83"/>
    <n v="145"/>
  </r>
  <r>
    <x v="1"/>
    <x v="5"/>
    <x v="5"/>
    <x v="2"/>
    <n v="126"/>
    <n v="0.57000000000000006"/>
    <n v="1.1805555555555556"/>
    <n v="148.75"/>
    <n v="35.700000000000003"/>
    <n v="89"/>
    <n v="73"/>
    <n v="95"/>
    <n v="95"/>
    <n v="99"/>
    <n v="124"/>
    <n v="50"/>
    <n v="80"/>
    <n v="64"/>
    <n v="107"/>
    <n v="79"/>
    <n v="65"/>
    <n v="34"/>
    <n v="566"/>
    <n v="637"/>
    <n v="35"/>
    <n v="112"/>
    <n v="93"/>
    <n v="102"/>
    <n v="120"/>
    <n v="138"/>
    <n v="136"/>
    <n v="46"/>
  </r>
  <r>
    <x v="1"/>
    <x v="5"/>
    <x v="5"/>
    <x v="2"/>
    <n v="61"/>
    <n v="0.66"/>
    <n v="1.5778688524590163"/>
    <n v="96.25"/>
    <n v="58.8"/>
    <n v="71"/>
    <n v="99"/>
    <n v="68"/>
    <n v="57"/>
    <n v="60"/>
    <n v="89"/>
    <n v="94"/>
    <n v="45"/>
    <n v="136"/>
    <n v="71"/>
    <n v="77"/>
    <n v="70"/>
    <n v="111"/>
    <n v="232"/>
    <n v="126"/>
    <n v="79"/>
    <n v="342"/>
    <n v="5"/>
    <n v="114"/>
    <n v="132"/>
    <n v="5"/>
    <n v="105"/>
    <n v="64"/>
  </r>
  <r>
    <x v="1"/>
    <x v="5"/>
    <x v="5"/>
    <x v="1"/>
    <n v="113"/>
    <n v="0.23"/>
    <n v="1.2831858407079646"/>
    <n v="145"/>
    <n v="19.95"/>
    <n v="96"/>
    <n v="103"/>
    <n v="91"/>
    <n v="125"/>
    <n v="61"/>
    <n v="136"/>
    <n v="53"/>
    <n v="58"/>
    <n v="115"/>
    <n v="62"/>
    <n v="73"/>
    <n v="49"/>
    <n v="125"/>
    <n v="75"/>
    <n v="16"/>
    <n v="100"/>
    <n v="142"/>
    <n v="91"/>
    <n v="134"/>
    <n v="267"/>
    <n v="314"/>
    <n v="22"/>
    <n v="72"/>
  </r>
  <r>
    <x v="1"/>
    <x v="5"/>
    <x v="5"/>
    <x v="2"/>
    <n v="117"/>
    <n v="0.64"/>
    <n v="0.49145299145299143"/>
    <n v="57.5"/>
    <n v="23.1"/>
    <n v="103"/>
    <n v="40"/>
    <n v="109"/>
    <n v="64"/>
    <n v="94"/>
    <n v="54"/>
    <n v="80"/>
    <n v="93"/>
    <n v="44"/>
    <n v="73"/>
    <n v="119"/>
    <n v="44"/>
    <n v="50"/>
    <n v="19"/>
    <n v="273"/>
    <n v="43"/>
    <n v="116"/>
    <n v="80"/>
    <n v="225"/>
    <n v="160"/>
    <n v="114"/>
    <n v="146"/>
    <n v="33"/>
  </r>
  <r>
    <x v="1"/>
    <x v="6"/>
    <x v="6"/>
    <x v="0"/>
    <n v="46"/>
    <n v="0.24999999999999997"/>
    <n v="3.1793478260869565"/>
    <n v="146.25"/>
    <n v="46.2"/>
    <n v="60"/>
    <n v="44"/>
    <n v="97"/>
    <n v="131"/>
    <n v="65"/>
    <n v="96"/>
    <n v="72"/>
    <n v="55"/>
    <n v="48"/>
    <n v="115"/>
    <n v="80"/>
    <n v="60"/>
    <n v="98"/>
    <n v="72"/>
    <n v="95"/>
    <n v="162"/>
    <n v="51"/>
    <n v="231"/>
    <n v="128"/>
    <n v="44"/>
    <n v="48"/>
    <n v="172"/>
    <n v="120"/>
  </r>
  <r>
    <x v="1"/>
    <x v="6"/>
    <x v="6"/>
    <x v="0"/>
    <n v="116"/>
    <n v="0.46000000000000008"/>
    <n v="1.2176724137931034"/>
    <n v="141.25"/>
    <n v="24.15"/>
    <n v="55"/>
    <n v="58"/>
    <n v="92"/>
    <n v="79"/>
    <n v="84"/>
    <n v="45"/>
    <n v="147"/>
    <n v="63"/>
    <n v="46"/>
    <n v="79"/>
    <n v="69"/>
    <n v="83"/>
    <n v="66"/>
    <n v="50"/>
    <n v="143"/>
    <n v="234"/>
    <n v="144"/>
    <n v="44"/>
    <n v="170"/>
    <n v="210"/>
    <n v="38"/>
    <n v="255"/>
    <n v="27"/>
  </r>
  <r>
    <x v="1"/>
    <x v="6"/>
    <x v="6"/>
    <x v="2"/>
    <n v="77"/>
    <n v="0.5"/>
    <n v="0.99025974025974028"/>
    <n v="76.25"/>
    <n v="61.95"/>
    <n v="51"/>
    <n v="42"/>
    <n v="35"/>
    <n v="96"/>
    <n v="54"/>
    <n v="41"/>
    <n v="63"/>
    <n v="121"/>
    <n v="44"/>
    <n v="54"/>
    <n v="79"/>
    <n v="60"/>
    <n v="27"/>
    <n v="111"/>
    <n v="39"/>
    <n v="40"/>
    <n v="285"/>
    <n v="180"/>
    <n v="165"/>
    <n v="377"/>
    <n v="42"/>
    <n v="76"/>
    <n v="63"/>
  </r>
  <r>
    <x v="1"/>
    <x v="6"/>
    <x v="6"/>
    <x v="3"/>
    <n v="119"/>
    <n v="0.52"/>
    <n v="1.3235294117647058"/>
    <n v="157.5"/>
    <n v="51.45"/>
    <n v="40"/>
    <n v="69"/>
    <n v="93"/>
    <n v="134"/>
    <n v="107"/>
    <n v="46"/>
    <n v="38"/>
    <n v="113"/>
    <n v="54"/>
    <n v="42"/>
    <n v="133"/>
    <n v="49"/>
    <n v="86"/>
    <n v="60"/>
    <n v="231"/>
    <n v="210"/>
    <n v="44"/>
    <n v="84"/>
    <n v="237"/>
    <n v="76"/>
    <n v="11"/>
    <n v="110"/>
    <n v="122"/>
  </r>
  <r>
    <x v="1"/>
    <x v="7"/>
    <x v="7"/>
    <x v="2"/>
    <n v="126"/>
    <n v="0.48"/>
    <n v="0.27777777777777779"/>
    <n v="35"/>
    <n v="43.05"/>
    <n v="89"/>
    <n v="76"/>
    <n v="25"/>
    <n v="70"/>
    <n v="103"/>
    <n v="71"/>
    <n v="136"/>
    <n v="83"/>
    <n v="41"/>
    <n v="76"/>
    <n v="86"/>
    <n v="82"/>
    <n v="105"/>
    <n v="103"/>
    <n v="154"/>
    <n v="92"/>
    <n v="83"/>
    <n v="208"/>
    <n v="360"/>
    <n v="140"/>
    <n v="427"/>
    <n v="396"/>
    <n v="281"/>
  </r>
  <r>
    <x v="1"/>
    <x v="7"/>
    <x v="7"/>
    <x v="0"/>
    <n v="120"/>
    <n v="0.46000000000000008"/>
    <n v="0.67708333333333337"/>
    <n v="81.25"/>
    <n v="38.85"/>
    <n v="69"/>
    <n v="65"/>
    <n v="57"/>
    <n v="42"/>
    <n v="71"/>
    <n v="70"/>
    <n v="42"/>
    <n v="27"/>
    <n v="141"/>
    <n v="134"/>
    <n v="48"/>
    <n v="74"/>
    <n v="17"/>
    <n v="59"/>
    <n v="132"/>
    <n v="372"/>
    <n v="83"/>
    <n v="75"/>
    <n v="250"/>
    <n v="145"/>
    <n v="355"/>
    <n v="292"/>
    <n v="448"/>
  </r>
  <r>
    <x v="1"/>
    <x v="7"/>
    <x v="7"/>
    <x v="0"/>
    <n v="110"/>
    <n v="0.58000000000000007"/>
    <n v="0.35227272727272729"/>
    <n v="38.75"/>
    <n v="25.2"/>
    <n v="41"/>
    <n v="49"/>
    <n v="60"/>
    <n v="57"/>
    <n v="38"/>
    <n v="51"/>
    <n v="36"/>
    <n v="97"/>
    <n v="98"/>
    <n v="71"/>
    <n v="77"/>
    <n v="82"/>
    <n v="74"/>
    <n v="672"/>
    <n v="16"/>
    <n v="177"/>
    <n v="110"/>
    <n v="180"/>
    <n v="161"/>
    <n v="188"/>
    <n v="198"/>
    <n v="54"/>
    <n v="136"/>
  </r>
  <r>
    <x v="1"/>
    <x v="7"/>
    <x v="7"/>
    <x v="2"/>
    <n v="27"/>
    <n v="0.26"/>
    <n v="3.3333333333333335"/>
    <n v="90"/>
    <n v="27.3"/>
    <n v="48"/>
    <n v="49"/>
    <n v="62"/>
    <n v="93"/>
    <n v="69"/>
    <n v="63"/>
    <n v="112"/>
    <n v="51"/>
    <n v="74"/>
    <n v="74"/>
    <n v="74"/>
    <n v="75"/>
    <n v="63"/>
    <n v="46"/>
    <n v="55"/>
    <n v="147"/>
    <n v="94"/>
    <n v="140"/>
    <n v="65"/>
    <n v="107"/>
    <n v="16"/>
    <n v="139"/>
    <n v="660"/>
  </r>
  <r>
    <x v="1"/>
    <x v="8"/>
    <x v="8"/>
    <x v="2"/>
    <n v="123"/>
    <n v="0.41000000000000003"/>
    <n v="0.42682926829268292"/>
    <n v="52.5"/>
    <n v="21"/>
    <n v="78"/>
    <n v="42"/>
    <n v="60"/>
    <n v="92"/>
    <n v="99"/>
    <n v="82"/>
    <n v="75"/>
    <n v="120"/>
    <n v="59"/>
    <n v="126"/>
    <n v="65"/>
    <n v="53"/>
    <n v="101"/>
    <n v="83"/>
    <n v="156"/>
    <n v="131"/>
    <n v="93"/>
    <n v="133"/>
    <n v="40"/>
    <n v="85"/>
    <n v="197"/>
    <n v="187"/>
    <n v="200"/>
  </r>
  <r>
    <x v="1"/>
    <x v="8"/>
    <x v="8"/>
    <x v="1"/>
    <n v="29"/>
    <n v="0.6"/>
    <n v="2.3706896551724137"/>
    <n v="68.75"/>
    <n v="55.65"/>
    <n v="85"/>
    <n v="44"/>
    <n v="91"/>
    <n v="88"/>
    <n v="69"/>
    <n v="35"/>
    <n v="138"/>
    <n v="81"/>
    <n v="111"/>
    <n v="92"/>
    <n v="119"/>
    <n v="102"/>
    <n v="121"/>
    <n v="9"/>
    <n v="232"/>
    <n v="38"/>
    <n v="220"/>
    <n v="290"/>
    <n v="9"/>
    <n v="412"/>
    <n v="173"/>
    <n v="97"/>
    <n v="133"/>
  </r>
  <r>
    <x v="1"/>
    <x v="8"/>
    <x v="8"/>
    <x v="3"/>
    <n v="87"/>
    <n v="0.41000000000000003"/>
    <n v="1.4080459770114941"/>
    <n v="122.5"/>
    <n v="27.3"/>
    <n v="90"/>
    <n v="87"/>
    <n v="126"/>
    <n v="125"/>
    <n v="100"/>
    <n v="52"/>
    <n v="59"/>
    <n v="78"/>
    <n v="72"/>
    <n v="60"/>
    <n v="52"/>
    <n v="76"/>
    <n v="93"/>
    <n v="206"/>
    <n v="49"/>
    <n v="88"/>
    <n v="208"/>
    <n v="14"/>
    <n v="10"/>
    <n v="33"/>
    <n v="31"/>
    <n v="947"/>
    <n v="316"/>
  </r>
  <r>
    <x v="1"/>
    <x v="8"/>
    <x v="8"/>
    <x v="0"/>
    <n v="34"/>
    <n v="0.59"/>
    <n v="1.0294117647058822"/>
    <n v="35"/>
    <n v="32.549999999999997"/>
    <n v="57"/>
    <n v="68"/>
    <n v="82"/>
    <n v="52"/>
    <n v="92"/>
    <n v="32"/>
    <n v="111"/>
    <n v="30"/>
    <n v="90"/>
    <n v="72"/>
    <n v="106"/>
    <n v="83"/>
    <n v="51"/>
    <n v="230"/>
    <n v="149"/>
    <n v="115"/>
    <n v="89"/>
    <n v="136"/>
    <n v="9"/>
    <n v="136"/>
    <n v="112"/>
    <n v="43"/>
    <n v="86"/>
  </r>
  <r>
    <x v="1"/>
    <x v="9"/>
    <x v="9"/>
    <x v="2"/>
    <n v="101"/>
    <n v="0.52"/>
    <n v="1.5470297029702971"/>
    <n v="156.25"/>
    <n v="57.75"/>
    <n v="38"/>
    <n v="100"/>
    <n v="80"/>
    <n v="68"/>
    <n v="111"/>
    <n v="85"/>
    <n v="62"/>
    <n v="52"/>
    <n v="65"/>
    <n v="29"/>
    <n v="117"/>
    <n v="105"/>
    <n v="106"/>
    <n v="257"/>
    <n v="98"/>
    <n v="83"/>
    <n v="28"/>
    <n v="194"/>
    <n v="143"/>
    <n v="157"/>
    <n v="52"/>
    <n v="326"/>
    <n v="329"/>
  </r>
  <r>
    <x v="1"/>
    <x v="9"/>
    <x v="9"/>
    <x v="2"/>
    <n v="124"/>
    <n v="0.22"/>
    <n v="0.28225806451612906"/>
    <n v="35"/>
    <n v="53.55"/>
    <n v="30"/>
    <n v="106"/>
    <n v="87"/>
    <n v="125"/>
    <n v="37"/>
    <n v="54"/>
    <n v="48"/>
    <n v="38"/>
    <n v="70"/>
    <n v="104"/>
    <n v="96"/>
    <n v="32"/>
    <n v="112"/>
    <n v="36"/>
    <n v="343"/>
    <n v="303"/>
    <n v="312"/>
    <n v="637"/>
    <n v="363"/>
    <n v="156"/>
    <n v="16"/>
    <n v="21"/>
    <n v="40"/>
  </r>
  <r>
    <x v="1"/>
    <x v="9"/>
    <x v="9"/>
    <x v="1"/>
    <n v="88"/>
    <n v="0.22"/>
    <n v="0.41193181818181818"/>
    <n v="36.25"/>
    <n v="54.6"/>
    <n v="84"/>
    <n v="72"/>
    <n v="73"/>
    <n v="34"/>
    <n v="48"/>
    <n v="72"/>
    <n v="92"/>
    <n v="87"/>
    <n v="96"/>
    <n v="57"/>
    <n v="67"/>
    <n v="138"/>
    <n v="126"/>
    <n v="78"/>
    <n v="192"/>
    <n v="64"/>
    <n v="71"/>
    <n v="425"/>
    <n v="228"/>
    <n v="127"/>
    <n v="78"/>
    <n v="78"/>
    <n v="162"/>
  </r>
  <r>
    <x v="1"/>
    <x v="9"/>
    <x v="9"/>
    <x v="3"/>
    <n v="86"/>
    <n v="0.23"/>
    <n v="1.5843023255813953"/>
    <n v="136.25"/>
    <n v="17.850000000000001"/>
    <n v="71"/>
    <n v="123"/>
    <n v="99"/>
    <n v="60"/>
    <n v="79"/>
    <n v="91"/>
    <n v="46"/>
    <n v="93"/>
    <n v="113"/>
    <n v="74"/>
    <n v="41"/>
    <n v="107"/>
    <n v="96"/>
    <n v="34"/>
    <n v="135"/>
    <n v="306"/>
    <n v="170"/>
    <n v="68"/>
    <n v="110"/>
    <n v="46"/>
    <n v="7"/>
    <n v="60"/>
    <n v="249"/>
  </r>
  <r>
    <x v="1"/>
    <x v="10"/>
    <x v="10"/>
    <x v="1"/>
    <n v="59"/>
    <n v="0.64"/>
    <n v="0.93220338983050843"/>
    <n v="55"/>
    <n v="29.4"/>
    <n v="125"/>
    <n v="106"/>
    <n v="74"/>
    <n v="60"/>
    <n v="115"/>
    <n v="103"/>
    <n v="88"/>
    <n v="41"/>
    <n v="100"/>
    <n v="103"/>
    <n v="138"/>
    <n v="43"/>
    <n v="99"/>
    <n v="100"/>
    <n v="283"/>
    <n v="76"/>
    <n v="71"/>
    <n v="23"/>
    <n v="311"/>
    <n v="52"/>
    <n v="32"/>
    <n v="25"/>
    <n v="55"/>
  </r>
  <r>
    <x v="1"/>
    <x v="10"/>
    <x v="10"/>
    <x v="1"/>
    <n v="40"/>
    <n v="0.68"/>
    <n v="3"/>
    <n v="120"/>
    <n v="33.6"/>
    <n v="52"/>
    <n v="64"/>
    <n v="67"/>
    <n v="77"/>
    <n v="69"/>
    <n v="127"/>
    <n v="68"/>
    <n v="91"/>
    <n v="69"/>
    <n v="113"/>
    <n v="102"/>
    <n v="63"/>
    <n v="65"/>
    <n v="64"/>
    <n v="116"/>
    <n v="90"/>
    <n v="23"/>
    <n v="28"/>
    <n v="196"/>
    <n v="175"/>
    <n v="18"/>
    <n v="158"/>
    <n v="255"/>
  </r>
  <r>
    <x v="1"/>
    <x v="10"/>
    <x v="10"/>
    <x v="2"/>
    <n v="61"/>
    <n v="0.53"/>
    <n v="1.9262295081967213"/>
    <n v="117.5"/>
    <n v="61.95"/>
    <n v="75"/>
    <n v="73"/>
    <n v="52"/>
    <n v="100"/>
    <n v="92"/>
    <n v="36"/>
    <n v="81"/>
    <n v="95"/>
    <n v="67"/>
    <n v="77"/>
    <n v="66"/>
    <n v="105"/>
    <n v="118"/>
    <n v="140"/>
    <n v="151"/>
    <n v="96"/>
    <n v="377"/>
    <n v="200"/>
    <n v="76"/>
    <n v="77"/>
    <n v="176"/>
    <n v="220"/>
    <n v="58"/>
  </r>
  <r>
    <x v="1"/>
    <x v="10"/>
    <x v="10"/>
    <x v="1"/>
    <n v="122"/>
    <n v="0.44000000000000006"/>
    <n v="0.81967213114754101"/>
    <n v="100"/>
    <n v="18.899999999999999"/>
    <n v="134"/>
    <n v="62"/>
    <n v="122"/>
    <n v="73"/>
    <n v="86"/>
    <n v="101"/>
    <n v="68"/>
    <n v="62"/>
    <n v="41"/>
    <n v="88"/>
    <n v="53"/>
    <n v="103"/>
    <n v="78"/>
    <n v="49"/>
    <n v="357"/>
    <n v="15"/>
    <n v="178"/>
    <n v="14"/>
    <n v="182"/>
    <n v="166"/>
    <n v="11"/>
    <n v="77"/>
    <n v="233"/>
  </r>
  <r>
    <x v="1"/>
    <x v="11"/>
    <x v="11"/>
    <x v="3"/>
    <n v="103"/>
    <n v="0.54"/>
    <n v="0.6189320388349514"/>
    <n v="63.75"/>
    <n v="39.9"/>
    <n v="83"/>
    <n v="112"/>
    <n v="92"/>
    <n v="73"/>
    <n v="112"/>
    <n v="75"/>
    <n v="60"/>
    <n v="127"/>
    <n v="111"/>
    <n v="53"/>
    <n v="55"/>
    <n v="67"/>
    <n v="95"/>
    <n v="146"/>
    <n v="85"/>
    <n v="154"/>
    <n v="177"/>
    <n v="330"/>
    <n v="191"/>
    <n v="93"/>
    <n v="6"/>
    <n v="209"/>
    <n v="315"/>
  </r>
  <r>
    <x v="1"/>
    <x v="11"/>
    <x v="11"/>
    <x v="0"/>
    <n v="31"/>
    <n v="0.28000000000000003"/>
    <n v="1.4516129032258065"/>
    <n v="45"/>
    <n v="38.85"/>
    <n v="122"/>
    <n v="27"/>
    <n v="82"/>
    <n v="46"/>
    <n v="110"/>
    <n v="56"/>
    <n v="47"/>
    <n v="56"/>
    <n v="43"/>
    <n v="109"/>
    <n v="46"/>
    <n v="91"/>
    <n v="70"/>
    <n v="40"/>
    <n v="74"/>
    <n v="48"/>
    <n v="365"/>
    <n v="54"/>
    <n v="15"/>
    <n v="292"/>
    <n v="22"/>
    <n v="35"/>
    <n v="38"/>
  </r>
  <r>
    <x v="1"/>
    <x v="11"/>
    <x v="11"/>
    <x v="2"/>
    <n v="61"/>
    <n v="0.30999999999999994"/>
    <n v="1.3319672131147542"/>
    <n v="81.25"/>
    <n v="21"/>
    <n v="55"/>
    <n v="48"/>
    <n v="71"/>
    <n v="82"/>
    <n v="63"/>
    <n v="50"/>
    <n v="77"/>
    <n v="98"/>
    <n v="64"/>
    <n v="66"/>
    <n v="65"/>
    <n v="40"/>
    <n v="110"/>
    <n v="35"/>
    <n v="678"/>
    <n v="38"/>
    <n v="39"/>
    <n v="231"/>
    <n v="206"/>
    <n v="143"/>
    <n v="23"/>
    <n v="235"/>
    <n v="33"/>
  </r>
  <r>
    <x v="1"/>
    <x v="11"/>
    <x v="11"/>
    <x v="0"/>
    <n v="66"/>
    <n v="0.43000000000000005"/>
    <n v="0.5492424242424242"/>
    <n v="36.25"/>
    <n v="14.7"/>
    <n v="115"/>
    <n v="55"/>
    <n v="121"/>
    <n v="95"/>
    <n v="63"/>
    <n v="79"/>
    <n v="53"/>
    <n v="61"/>
    <n v="104"/>
    <n v="125"/>
    <n v="95"/>
    <n v="43"/>
    <n v="66"/>
    <n v="262"/>
    <n v="81"/>
    <n v="74"/>
    <n v="196"/>
    <n v="180"/>
    <n v="138"/>
    <n v="58"/>
    <n v="25"/>
    <n v="134"/>
    <n v="78"/>
  </r>
  <r>
    <x v="2"/>
    <x v="0"/>
    <x v="0"/>
    <x v="1"/>
    <n v="82"/>
    <n v="0.5"/>
    <n v="1.2560975609756098"/>
    <n v="103"/>
    <n v="41"/>
    <n v="88"/>
    <n v="71"/>
    <n v="52"/>
    <n v="73"/>
    <n v="79"/>
    <n v="46"/>
    <n v="42"/>
    <n v="37"/>
    <n v="49"/>
    <n v="104"/>
    <n v="108"/>
    <n v="51"/>
    <n v="41"/>
    <n v="118"/>
    <n v="42"/>
    <n v="940"/>
    <n v="291"/>
    <n v="320"/>
    <n v="71"/>
    <n v="80"/>
    <n v="17"/>
    <n v="42"/>
    <n v="130"/>
  </r>
  <r>
    <x v="2"/>
    <x v="0"/>
    <x v="0"/>
    <x v="0"/>
    <n v="56"/>
    <n v="0.77"/>
    <n v="1.25"/>
    <n v="70"/>
    <n v="55"/>
    <n v="74"/>
    <n v="65"/>
    <n v="117"/>
    <n v="48"/>
    <n v="50"/>
    <n v="54"/>
    <n v="87"/>
    <n v="61"/>
    <n v="119"/>
    <n v="54"/>
    <n v="142"/>
    <n v="128"/>
    <n v="34"/>
    <n v="126"/>
    <n v="75"/>
    <n v="170"/>
    <n v="149"/>
    <n v="149"/>
    <n v="353"/>
    <n v="114"/>
    <n v="168"/>
    <n v="136"/>
    <n v="49"/>
  </r>
  <r>
    <x v="2"/>
    <x v="0"/>
    <x v="0"/>
    <x v="0"/>
    <n v="76"/>
    <n v="0.48"/>
    <n v="1.25"/>
    <n v="95"/>
    <n v="31"/>
    <n v="44"/>
    <n v="74"/>
    <n v="84"/>
    <n v="90"/>
    <n v="79"/>
    <n v="64"/>
    <n v="35"/>
    <n v="126"/>
    <n v="108"/>
    <n v="61"/>
    <n v="73"/>
    <n v="72"/>
    <n v="76"/>
    <n v="66"/>
    <n v="165"/>
    <n v="93"/>
    <n v="170"/>
    <n v="126"/>
    <n v="166"/>
    <n v="5"/>
    <n v="26"/>
    <n v="35"/>
    <n v="5"/>
  </r>
  <r>
    <x v="2"/>
    <x v="0"/>
    <x v="0"/>
    <x v="3"/>
    <n v="114"/>
    <n v="0.59"/>
    <n v="1.2456140350877194"/>
    <n v="142"/>
    <n v="42"/>
    <n v="112"/>
    <n v="55"/>
    <n v="149"/>
    <n v="51"/>
    <n v="70"/>
    <n v="37"/>
    <n v="107"/>
    <n v="110"/>
    <n v="66"/>
    <n v="78"/>
    <n v="92"/>
    <n v="83"/>
    <n v="39"/>
    <n v="46"/>
    <n v="161"/>
    <n v="223"/>
    <n v="277"/>
    <n v="50"/>
    <n v="114"/>
    <n v="150"/>
    <n v="179"/>
    <n v="66"/>
    <n v="183"/>
  </r>
  <r>
    <x v="2"/>
    <x v="1"/>
    <x v="1"/>
    <x v="0"/>
    <n v="27"/>
    <n v="0.62"/>
    <n v="4.2592592592592595"/>
    <n v="115"/>
    <n v="25"/>
    <n v="81"/>
    <n v="100"/>
    <n v="46"/>
    <n v="116"/>
    <n v="106"/>
    <n v="70"/>
    <n v="106"/>
    <n v="101"/>
    <n v="50"/>
    <n v="30"/>
    <n v="62"/>
    <n v="87"/>
    <n v="28"/>
    <n v="150"/>
    <n v="115"/>
    <n v="25"/>
    <n v="60"/>
    <n v="314"/>
    <n v="105"/>
    <n v="82"/>
    <n v="17"/>
    <n v="16"/>
    <n v="270"/>
  </r>
  <r>
    <x v="2"/>
    <x v="1"/>
    <x v="1"/>
    <x v="0"/>
    <n v="35"/>
    <n v="0.77"/>
    <n v="1.2285714285714286"/>
    <n v="43"/>
    <n v="22"/>
    <n v="43"/>
    <n v="62"/>
    <n v="99"/>
    <n v="78"/>
    <n v="83"/>
    <n v="82"/>
    <n v="58"/>
    <n v="48"/>
    <n v="94"/>
    <n v="92"/>
    <n v="100"/>
    <n v="59"/>
    <n v="60"/>
    <n v="70"/>
    <n v="198"/>
    <n v="67"/>
    <n v="189"/>
    <n v="19"/>
    <n v="237"/>
    <n v="56"/>
    <n v="67"/>
    <n v="28"/>
    <n v="100"/>
  </r>
  <r>
    <x v="2"/>
    <x v="1"/>
    <x v="1"/>
    <x v="2"/>
    <n v="27"/>
    <n v="0.48"/>
    <n v="3.8518518518518516"/>
    <n v="104"/>
    <n v="53"/>
    <n v="93"/>
    <n v="74"/>
    <n v="98"/>
    <n v="137"/>
    <n v="46"/>
    <n v="82"/>
    <n v="58"/>
    <n v="76"/>
    <n v="48"/>
    <n v="91"/>
    <n v="86"/>
    <n v="126"/>
    <n v="73"/>
    <n v="172"/>
    <n v="95"/>
    <n v="189"/>
    <n v="352"/>
    <n v="62"/>
    <n v="310"/>
    <n v="300"/>
    <n v="136"/>
    <n v="163"/>
    <n v="49"/>
  </r>
  <r>
    <x v="2"/>
    <x v="1"/>
    <x v="1"/>
    <x v="1"/>
    <n v="47"/>
    <n v="0.78"/>
    <n v="1.2553191489361701"/>
    <n v="59"/>
    <n v="16"/>
    <n v="86"/>
    <n v="92"/>
    <n v="102"/>
    <n v="107"/>
    <n v="116"/>
    <n v="105"/>
    <n v="52"/>
    <n v="43"/>
    <n v="77"/>
    <n v="59"/>
    <n v="53"/>
    <n v="76"/>
    <n v="85"/>
    <n v="227"/>
    <n v="112"/>
    <n v="292"/>
    <n v="84"/>
    <n v="102"/>
    <n v="28"/>
    <n v="341"/>
    <n v="66"/>
    <n v="72"/>
    <n v="532"/>
  </r>
  <r>
    <x v="2"/>
    <x v="2"/>
    <x v="2"/>
    <x v="2"/>
    <n v="90"/>
    <n v="0.59"/>
    <n v="1.2444444444444445"/>
    <n v="112"/>
    <n v="17"/>
    <n v="50"/>
    <n v="146"/>
    <n v="71"/>
    <n v="82"/>
    <n v="142"/>
    <n v="78"/>
    <n v="96"/>
    <n v="80"/>
    <n v="91"/>
    <n v="78"/>
    <n v="40"/>
    <n v="53"/>
    <n v="69"/>
    <n v="642"/>
    <n v="217"/>
    <n v="29"/>
    <n v="120"/>
    <n v="181"/>
    <n v="22"/>
    <n v="165"/>
    <n v="49"/>
    <n v="71"/>
    <n v="57"/>
  </r>
  <r>
    <x v="2"/>
    <x v="2"/>
    <x v="2"/>
    <x v="2"/>
    <n v="64"/>
    <n v="0.71"/>
    <n v="1.265625"/>
    <n v="81"/>
    <n v="13"/>
    <n v="93"/>
    <n v="89"/>
    <n v="94"/>
    <n v="66"/>
    <n v="61"/>
    <n v="40"/>
    <n v="120"/>
    <n v="50"/>
    <n v="113"/>
    <n v="114"/>
    <n v="113"/>
    <n v="116"/>
    <n v="18"/>
    <n v="50"/>
    <n v="49"/>
    <n v="166"/>
    <n v="138"/>
    <n v="127"/>
    <n v="55"/>
    <n v="32"/>
    <n v="120"/>
    <n v="29"/>
    <n v="163"/>
  </r>
  <r>
    <x v="2"/>
    <x v="2"/>
    <x v="2"/>
    <x v="2"/>
    <n v="30"/>
    <n v="0.55000000000000004"/>
    <n v="1.2666666666666666"/>
    <n v="38"/>
    <n v="14"/>
    <n v="44"/>
    <n v="84"/>
    <n v="68"/>
    <n v="33"/>
    <n v="72"/>
    <n v="112"/>
    <n v="47"/>
    <n v="85"/>
    <n v="98"/>
    <n v="143"/>
    <n v="100"/>
    <n v="100"/>
    <n v="72"/>
    <n v="385"/>
    <n v="108"/>
    <n v="389"/>
    <n v="20"/>
    <n v="83"/>
    <n v="73"/>
    <n v="55"/>
    <n v="80"/>
    <n v="282"/>
    <n v="354"/>
  </r>
  <r>
    <x v="2"/>
    <x v="2"/>
    <x v="2"/>
    <x v="2"/>
    <n v="36"/>
    <n v="0.68"/>
    <n v="1.2777777777777777"/>
    <n v="46"/>
    <n v="38"/>
    <n v="51"/>
    <n v="51"/>
    <n v="59"/>
    <n v="55"/>
    <n v="63"/>
    <n v="136"/>
    <n v="36"/>
    <n v="134"/>
    <n v="101"/>
    <n v="97"/>
    <n v="33"/>
    <n v="81"/>
    <n v="99"/>
    <n v="126"/>
    <n v="133"/>
    <n v="163"/>
    <n v="179"/>
    <n v="100"/>
    <n v="303"/>
    <n v="44"/>
    <n v="156"/>
    <n v="155"/>
    <n v="47"/>
  </r>
  <r>
    <x v="2"/>
    <x v="3"/>
    <x v="3"/>
    <x v="2"/>
    <n v="58"/>
    <n v="0.8"/>
    <n v="1.2586206896551724"/>
    <n v="73"/>
    <n v="28"/>
    <n v="108"/>
    <n v="67"/>
    <n v="108"/>
    <n v="75"/>
    <n v="64"/>
    <n v="50"/>
    <n v="79"/>
    <n v="29"/>
    <n v="123"/>
    <n v="96"/>
    <n v="77"/>
    <n v="40"/>
    <n v="58"/>
    <n v="13"/>
    <n v="120"/>
    <n v="74"/>
    <n v="220"/>
    <n v="259"/>
    <n v="320"/>
    <n v="65"/>
    <n v="335"/>
    <n v="81"/>
    <n v="10"/>
  </r>
  <r>
    <x v="2"/>
    <x v="3"/>
    <x v="3"/>
    <x v="0"/>
    <n v="31"/>
    <n v="0.46"/>
    <n v="1.2580645161290323"/>
    <n v="39"/>
    <n v="47"/>
    <n v="83"/>
    <n v="28"/>
    <n v="69"/>
    <n v="94"/>
    <n v="54"/>
    <n v="47"/>
    <n v="52"/>
    <n v="43"/>
    <n v="92"/>
    <n v="74"/>
    <n v="48"/>
    <n v="143"/>
    <n v="81"/>
    <n v="50"/>
    <n v="104"/>
    <n v="111"/>
    <n v="612"/>
    <n v="147"/>
    <n v="330"/>
    <n v="84"/>
    <n v="373"/>
    <n v="192"/>
    <n v="147"/>
  </r>
  <r>
    <x v="2"/>
    <x v="3"/>
    <x v="3"/>
    <x v="0"/>
    <n v="54"/>
    <n v="0.8"/>
    <n v="1.2592592592592593"/>
    <n v="68"/>
    <n v="51"/>
    <n v="40"/>
    <n v="71"/>
    <n v="63"/>
    <n v="89"/>
    <n v="102"/>
    <n v="56"/>
    <n v="74"/>
    <n v="121"/>
    <n v="53"/>
    <n v="95"/>
    <n v="34"/>
    <n v="86"/>
    <n v="86"/>
    <n v="64"/>
    <n v="84"/>
    <n v="255"/>
    <n v="49"/>
    <n v="48"/>
    <n v="20"/>
    <n v="115"/>
    <n v="292"/>
    <n v="44"/>
    <n v="133"/>
  </r>
  <r>
    <x v="2"/>
    <x v="3"/>
    <x v="3"/>
    <x v="0"/>
    <n v="51"/>
    <n v="0.72"/>
    <n v="1.2549019607843137"/>
    <n v="64"/>
    <n v="34"/>
    <n v="79"/>
    <n v="56"/>
    <n v="96"/>
    <n v="95"/>
    <n v="82"/>
    <n v="79"/>
    <n v="56"/>
    <n v="34"/>
    <n v="133"/>
    <n v="64"/>
    <n v="142"/>
    <n v="82"/>
    <n v="38"/>
    <n v="127"/>
    <n v="54"/>
    <n v="408"/>
    <n v="90"/>
    <n v="36"/>
    <n v="27"/>
    <n v="248"/>
    <n v="199"/>
    <n v="448"/>
    <n v="397"/>
  </r>
  <r>
    <x v="2"/>
    <x v="4"/>
    <x v="4"/>
    <x v="3"/>
    <n v="42"/>
    <n v="0.67"/>
    <n v="1.2380952380952381"/>
    <n v="52"/>
    <n v="39"/>
    <n v="85"/>
    <n v="55"/>
    <n v="97"/>
    <n v="61"/>
    <n v="138"/>
    <n v="38"/>
    <n v="56"/>
    <n v="81"/>
    <n v="100"/>
    <n v="49"/>
    <n v="70"/>
    <n v="46"/>
    <n v="102"/>
    <n v="197"/>
    <n v="69"/>
    <n v="66"/>
    <n v="158"/>
    <n v="84"/>
    <n v="110"/>
    <n v="104"/>
    <n v="182"/>
    <n v="217"/>
    <n v="115"/>
  </r>
  <r>
    <x v="2"/>
    <x v="4"/>
    <x v="4"/>
    <x v="3"/>
    <n v="44"/>
    <n v="0.46"/>
    <n v="1.25"/>
    <n v="55"/>
    <n v="13"/>
    <n v="116"/>
    <n v="65"/>
    <n v="107"/>
    <n v="37"/>
    <n v="66"/>
    <n v="84"/>
    <n v="111"/>
    <n v="37"/>
    <n v="113"/>
    <n v="67"/>
    <n v="36"/>
    <n v="38"/>
    <n v="65"/>
    <n v="202"/>
    <n v="82"/>
    <n v="207"/>
    <n v="17"/>
    <n v="28"/>
    <n v="157"/>
    <n v="120"/>
    <n v="76"/>
    <n v="187"/>
    <n v="252"/>
  </r>
  <r>
    <x v="2"/>
    <x v="4"/>
    <x v="4"/>
    <x v="0"/>
    <n v="52"/>
    <n v="0.51"/>
    <n v="1.25"/>
    <n v="65"/>
    <n v="20"/>
    <n v="95"/>
    <n v="108"/>
    <n v="54"/>
    <n v="37"/>
    <n v="85"/>
    <n v="130"/>
    <n v="140"/>
    <n v="97"/>
    <n v="108"/>
    <n v="54"/>
    <n v="77"/>
    <n v="75"/>
    <n v="87"/>
    <n v="219"/>
    <n v="53"/>
    <n v="232"/>
    <n v="240"/>
    <n v="376"/>
    <n v="34"/>
    <n v="136"/>
    <n v="33"/>
    <n v="173"/>
    <n v="94"/>
  </r>
  <r>
    <x v="2"/>
    <x v="4"/>
    <x v="4"/>
    <x v="1"/>
    <n v="25"/>
    <n v="0.59"/>
    <n v="1.24"/>
    <n v="31"/>
    <n v="24"/>
    <n v="60"/>
    <n v="94"/>
    <n v="96"/>
    <n v="51"/>
    <n v="69"/>
    <n v="68"/>
    <n v="82"/>
    <n v="55"/>
    <n v="40"/>
    <n v="92"/>
    <n v="64"/>
    <n v="123"/>
    <n v="14"/>
    <n v="126"/>
    <n v="113"/>
    <n v="38"/>
    <n v="35"/>
    <n v="60"/>
    <n v="86"/>
    <n v="109"/>
    <n v="99"/>
    <n v="167"/>
    <n v="308"/>
  </r>
  <r>
    <x v="2"/>
    <x v="5"/>
    <x v="5"/>
    <x v="1"/>
    <n v="25"/>
    <n v="0.48"/>
    <n v="1.24"/>
    <n v="31"/>
    <n v="51"/>
    <n v="72"/>
    <n v="63"/>
    <n v="41"/>
    <n v="67"/>
    <n v="112"/>
    <n v="80"/>
    <n v="149"/>
    <n v="116"/>
    <n v="88"/>
    <n v="43"/>
    <n v="52"/>
    <n v="51"/>
    <n v="18"/>
    <n v="38"/>
    <n v="85"/>
    <n v="146"/>
    <n v="133"/>
    <n v="464"/>
    <n v="36"/>
    <n v="304"/>
    <n v="138"/>
    <n v="20"/>
    <n v="47"/>
  </r>
  <r>
    <x v="2"/>
    <x v="5"/>
    <x v="5"/>
    <x v="2"/>
    <n v="35"/>
    <n v="0.75"/>
    <n v="1.2285714285714286"/>
    <n v="43"/>
    <n v="51"/>
    <n v="82"/>
    <n v="55"/>
    <n v="70"/>
    <n v="78"/>
    <n v="63"/>
    <n v="82"/>
    <n v="55"/>
    <n v="71"/>
    <n v="77"/>
    <n v="86"/>
    <n v="53"/>
    <n v="86"/>
    <n v="45"/>
    <n v="34"/>
    <n v="36"/>
    <n v="157"/>
    <n v="44"/>
    <n v="27"/>
    <n v="122"/>
    <n v="172"/>
    <n v="118"/>
    <n v="171"/>
    <n v="20"/>
  </r>
  <r>
    <x v="2"/>
    <x v="5"/>
    <x v="5"/>
    <x v="0"/>
    <n v="35"/>
    <n v="0.74"/>
    <n v="1.2285714285714286"/>
    <n v="43"/>
    <n v="20"/>
    <n v="70"/>
    <n v="115"/>
    <n v="64"/>
    <n v="77"/>
    <n v="146"/>
    <n v="99"/>
    <n v="67"/>
    <n v="74"/>
    <n v="68"/>
    <n v="125"/>
    <n v="111"/>
    <n v="125"/>
    <n v="87"/>
    <n v="362"/>
    <n v="81"/>
    <n v="170"/>
    <n v="177"/>
    <n v="91"/>
    <n v="153"/>
    <n v="100"/>
    <n v="115"/>
    <n v="106"/>
    <n v="22"/>
  </r>
  <r>
    <x v="2"/>
    <x v="5"/>
    <x v="5"/>
    <x v="0"/>
    <n v="59"/>
    <n v="0.59"/>
    <n v="1.2542372881355932"/>
    <n v="74"/>
    <n v="32"/>
    <n v="71"/>
    <n v="66"/>
    <n v="86"/>
    <n v="38"/>
    <n v="84"/>
    <n v="48"/>
    <n v="90"/>
    <n v="100"/>
    <n v="61"/>
    <n v="92"/>
    <n v="56"/>
    <n v="94"/>
    <n v="28"/>
    <n v="223"/>
    <n v="564"/>
    <n v="33"/>
    <n v="102"/>
    <n v="70"/>
    <n v="253"/>
    <n v="25"/>
    <n v="245"/>
    <n v="231"/>
    <n v="357"/>
  </r>
  <r>
    <x v="2"/>
    <x v="6"/>
    <x v="6"/>
    <x v="3"/>
    <n v="83"/>
    <n v="0.7"/>
    <n v="1.2530120481927711"/>
    <n v="104"/>
    <n v="19"/>
    <n v="47"/>
    <n v="78"/>
    <n v="48"/>
    <n v="98"/>
    <n v="40"/>
    <n v="103"/>
    <n v="51"/>
    <n v="131"/>
    <n v="56"/>
    <n v="88"/>
    <n v="107"/>
    <n v="75"/>
    <n v="25"/>
    <n v="63"/>
    <n v="5"/>
    <n v="29"/>
    <n v="84"/>
    <n v="173"/>
    <n v="71"/>
    <n v="338"/>
    <n v="22"/>
    <n v="34"/>
    <n v="308"/>
  </r>
  <r>
    <x v="2"/>
    <x v="6"/>
    <x v="6"/>
    <x v="0"/>
    <n v="46"/>
    <n v="0.49"/>
    <n v="1.2608695652173914"/>
    <n v="58"/>
    <n v="13"/>
    <n v="40"/>
    <n v="75"/>
    <n v="74"/>
    <n v="76"/>
    <n v="84"/>
    <n v="52"/>
    <n v="59"/>
    <n v="53"/>
    <n v="112"/>
    <n v="63"/>
    <n v="64"/>
    <n v="66"/>
    <n v="26"/>
    <n v="53"/>
    <n v="37"/>
    <n v="7"/>
    <n v="28"/>
    <n v="43"/>
    <n v="236"/>
    <n v="122"/>
    <n v="70"/>
    <n v="44"/>
    <n v="61"/>
  </r>
  <r>
    <x v="2"/>
    <x v="6"/>
    <x v="6"/>
    <x v="2"/>
    <n v="55"/>
    <n v="0.68"/>
    <n v="1.2545454545454546"/>
    <n v="69"/>
    <n v="9"/>
    <n v="48"/>
    <n v="58"/>
    <n v="72"/>
    <n v="67"/>
    <n v="52"/>
    <n v="36"/>
    <n v="48"/>
    <n v="84"/>
    <n v="58"/>
    <n v="107"/>
    <n v="67"/>
    <n v="38"/>
    <n v="81"/>
    <n v="136"/>
    <n v="16"/>
    <n v="309"/>
    <n v="18"/>
    <n v="145"/>
    <n v="157"/>
    <n v="143"/>
    <n v="132"/>
    <n v="105"/>
    <n v="237"/>
  </r>
  <r>
    <x v="2"/>
    <x v="6"/>
    <x v="6"/>
    <x v="3"/>
    <n v="49"/>
    <n v="0.49"/>
    <n v="1.2448979591836735"/>
    <n v="61"/>
    <n v="31"/>
    <n v="73"/>
    <n v="48"/>
    <n v="100"/>
    <n v="50"/>
    <n v="64"/>
    <n v="56"/>
    <n v="66"/>
    <n v="127"/>
    <n v="96"/>
    <n v="100"/>
    <n v="71"/>
    <n v="36"/>
    <n v="106"/>
    <n v="11"/>
    <n v="291"/>
    <n v="20"/>
    <n v="77"/>
    <n v="26"/>
    <n v="365"/>
    <n v="126"/>
    <n v="108"/>
    <n v="219"/>
    <n v="10"/>
  </r>
  <r>
    <x v="2"/>
    <x v="7"/>
    <x v="7"/>
    <x v="0"/>
    <n v="111"/>
    <n v="0.47"/>
    <n v="1.2522522522522523"/>
    <n v="139"/>
    <n v="44"/>
    <n v="83"/>
    <n v="75"/>
    <n v="81"/>
    <n v="52"/>
    <n v="70"/>
    <n v="72"/>
    <n v="112"/>
    <n v="52"/>
    <n v="98"/>
    <n v="78"/>
    <n v="137"/>
    <n v="91"/>
    <n v="73"/>
    <n v="57"/>
    <n v="137"/>
    <n v="369"/>
    <n v="227"/>
    <n v="149"/>
    <n v="75"/>
    <n v="11"/>
    <n v="497"/>
    <n v="336"/>
    <n v="351"/>
  </r>
  <r>
    <x v="2"/>
    <x v="7"/>
    <x v="7"/>
    <x v="3"/>
    <n v="99"/>
    <n v="0.5"/>
    <n v="1.2424242424242424"/>
    <n v="123"/>
    <n v="44"/>
    <n v="28"/>
    <n v="82"/>
    <n v="72"/>
    <n v="132"/>
    <n v="40"/>
    <n v="86"/>
    <n v="97"/>
    <n v="112"/>
    <n v="62"/>
    <n v="63"/>
    <n v="93"/>
    <n v="65"/>
    <n v="71"/>
    <n v="37"/>
    <n v="102"/>
    <n v="166"/>
    <n v="56"/>
    <n v="116"/>
    <n v="149"/>
    <n v="153"/>
    <n v="202"/>
    <n v="41"/>
    <n v="112"/>
  </r>
  <r>
    <x v="2"/>
    <x v="7"/>
    <x v="7"/>
    <x v="2"/>
    <n v="98"/>
    <n v="0.69"/>
    <n v="1.2448979591836735"/>
    <n v="122"/>
    <n v="34"/>
    <n v="119"/>
    <n v="100"/>
    <n v="102"/>
    <n v="35"/>
    <n v="150"/>
    <n v="27"/>
    <n v="78"/>
    <n v="114"/>
    <n v="95"/>
    <n v="46"/>
    <n v="57"/>
    <n v="96"/>
    <n v="84"/>
    <n v="232"/>
    <n v="279"/>
    <n v="214"/>
    <n v="20"/>
    <n v="366"/>
    <n v="136"/>
    <n v="235"/>
    <n v="149"/>
    <n v="25"/>
    <n v="456"/>
  </r>
  <r>
    <x v="2"/>
    <x v="7"/>
    <x v="7"/>
    <x v="0"/>
    <n v="38"/>
    <n v="0.57999999999999996"/>
    <n v="1.263157894736842"/>
    <n v="48"/>
    <n v="16"/>
    <n v="49"/>
    <n v="102"/>
    <n v="49"/>
    <n v="81"/>
    <n v="118"/>
    <n v="80"/>
    <n v="66"/>
    <n v="59"/>
    <n v="86"/>
    <n v="72"/>
    <n v="43"/>
    <n v="75"/>
    <n v="103"/>
    <n v="112"/>
    <n v="66"/>
    <n v="48"/>
    <n v="88"/>
    <n v="143"/>
    <n v="170"/>
    <n v="74"/>
    <n v="189"/>
    <n v="81"/>
    <n v="114"/>
  </r>
  <r>
    <x v="2"/>
    <x v="8"/>
    <x v="8"/>
    <x v="1"/>
    <n v="102"/>
    <n v="0.48"/>
    <n v="1.2549019607843137"/>
    <n v="128"/>
    <n v="51"/>
    <n v="69"/>
    <n v="98"/>
    <n v="38"/>
    <n v="58"/>
    <n v="42"/>
    <n v="89"/>
    <n v="84"/>
    <n v="106"/>
    <n v="60"/>
    <n v="59"/>
    <n v="74"/>
    <n v="104"/>
    <n v="62"/>
    <n v="11"/>
    <n v="198"/>
    <n v="38"/>
    <n v="68"/>
    <n v="20"/>
    <n v="296"/>
    <n v="81"/>
    <n v="196"/>
    <n v="152"/>
    <n v="62"/>
  </r>
  <r>
    <x v="2"/>
    <x v="8"/>
    <x v="8"/>
    <x v="3"/>
    <n v="28"/>
    <n v="0.69"/>
    <n v="1.2857142857142858"/>
    <n v="36"/>
    <n v="34"/>
    <n v="65"/>
    <n v="78"/>
    <n v="80"/>
    <n v="88"/>
    <n v="57"/>
    <n v="94"/>
    <n v="150"/>
    <n v="84"/>
    <n v="52"/>
    <n v="53"/>
    <n v="83"/>
    <n v="56"/>
    <n v="61"/>
    <n v="15"/>
    <n v="110"/>
    <n v="128"/>
    <n v="118"/>
    <n v="63"/>
    <n v="14"/>
    <n v="83"/>
    <n v="246"/>
    <n v="248"/>
    <n v="8"/>
  </r>
  <r>
    <x v="2"/>
    <x v="8"/>
    <x v="8"/>
    <x v="1"/>
    <n v="48"/>
    <n v="0.54"/>
    <n v="1.25"/>
    <n v="60"/>
    <n v="14"/>
    <n v="67"/>
    <n v="100"/>
    <n v="77"/>
    <n v="86"/>
    <n v="89"/>
    <n v="85"/>
    <n v="48"/>
    <n v="62"/>
    <n v="108"/>
    <n v="62"/>
    <n v="145"/>
    <n v="145"/>
    <n v="71"/>
    <n v="362"/>
    <n v="81"/>
    <n v="588"/>
    <n v="62"/>
    <n v="65"/>
    <n v="7"/>
    <n v="3"/>
    <n v="195"/>
    <n v="68"/>
    <n v="7"/>
  </r>
  <r>
    <x v="2"/>
    <x v="8"/>
    <x v="8"/>
    <x v="2"/>
    <n v="66"/>
    <n v="0.46"/>
    <n v="1.2575757575757576"/>
    <n v="83"/>
    <n v="41"/>
    <n v="125"/>
    <n v="110"/>
    <n v="70"/>
    <n v="36"/>
    <n v="113"/>
    <n v="38"/>
    <n v="84"/>
    <n v="85"/>
    <n v="39"/>
    <n v="50"/>
    <n v="126"/>
    <n v="79"/>
    <n v="83"/>
    <n v="56"/>
    <n v="135"/>
    <n v="80"/>
    <n v="93"/>
    <n v="44"/>
    <n v="352"/>
    <n v="61"/>
    <n v="123"/>
    <n v="20"/>
    <n v="82"/>
  </r>
  <r>
    <x v="2"/>
    <x v="9"/>
    <x v="9"/>
    <x v="1"/>
    <n v="97"/>
    <n v="0.57999999999999996"/>
    <n v="1.2474226804123711"/>
    <n v="121"/>
    <n v="53"/>
    <n v="65"/>
    <n v="51"/>
    <n v="69"/>
    <n v="86"/>
    <n v="45"/>
    <n v="88"/>
    <n v="49"/>
    <n v="104"/>
    <n v="92"/>
    <n v="65"/>
    <n v="121"/>
    <n v="130"/>
    <n v="113"/>
    <n v="276"/>
    <n v="458"/>
    <n v="300"/>
    <n v="128"/>
    <n v="291"/>
    <n v="20"/>
    <n v="99"/>
    <n v="22"/>
    <n v="212"/>
    <n v="135"/>
  </r>
  <r>
    <x v="2"/>
    <x v="9"/>
    <x v="9"/>
    <x v="3"/>
    <n v="95"/>
    <n v="0.53"/>
    <n v="1.2526315789473683"/>
    <n v="119"/>
    <n v="23"/>
    <n v="57"/>
    <n v="101"/>
    <n v="85"/>
    <n v="47"/>
    <n v="103"/>
    <n v="116"/>
    <n v="51"/>
    <n v="92"/>
    <n v="62"/>
    <n v="57"/>
    <n v="71"/>
    <n v="54"/>
    <n v="93"/>
    <n v="174"/>
    <n v="12"/>
    <n v="308"/>
    <n v="338"/>
    <n v="46"/>
    <n v="125"/>
    <n v="131"/>
    <n v="79"/>
    <n v="32"/>
    <n v="8"/>
  </r>
  <r>
    <x v="2"/>
    <x v="9"/>
    <x v="9"/>
    <x v="1"/>
    <n v="106"/>
    <n v="0.77"/>
    <n v="1.2452830188679245"/>
    <n v="132"/>
    <n v="14"/>
    <n v="64"/>
    <n v="70"/>
    <n v="76"/>
    <n v="26"/>
    <n v="87"/>
    <n v="108"/>
    <n v="101"/>
    <n v="66"/>
    <n v="53"/>
    <n v="102"/>
    <n v="70"/>
    <n v="47"/>
    <n v="55"/>
    <n v="61"/>
    <n v="88"/>
    <n v="55"/>
    <n v="242"/>
    <n v="127"/>
    <n v="220"/>
    <n v="133"/>
    <n v="96"/>
    <n v="61"/>
    <n v="67"/>
  </r>
  <r>
    <x v="2"/>
    <x v="9"/>
    <x v="9"/>
    <x v="3"/>
    <n v="110"/>
    <n v="0.55000000000000004"/>
    <n v="1.2545454545454546"/>
    <n v="138"/>
    <n v="12"/>
    <n v="38"/>
    <n v="42"/>
    <n v="107"/>
    <n v="65"/>
    <n v="71"/>
    <n v="62"/>
    <n v="46"/>
    <n v="133"/>
    <n v="33"/>
    <n v="107"/>
    <n v="47"/>
    <n v="84"/>
    <n v="101"/>
    <n v="165"/>
    <n v="18"/>
    <n v="156"/>
    <n v="117"/>
    <n v="67"/>
    <n v="73"/>
    <n v="165"/>
    <n v="167"/>
    <n v="146"/>
    <n v="215"/>
  </r>
  <r>
    <x v="2"/>
    <x v="10"/>
    <x v="10"/>
    <x v="0"/>
    <n v="33"/>
    <n v="0.68"/>
    <n v="1.2424242424242424"/>
    <n v="41"/>
    <n v="47"/>
    <n v="68"/>
    <n v="98"/>
    <n v="112"/>
    <n v="114"/>
    <n v="129"/>
    <n v="39"/>
    <n v="61"/>
    <n v="102"/>
    <n v="65"/>
    <n v="50"/>
    <n v="68"/>
    <n v="47"/>
    <n v="112"/>
    <n v="132"/>
    <n v="188"/>
    <n v="43"/>
    <n v="82"/>
    <n v="281"/>
    <n v="87"/>
    <n v="145"/>
    <n v="275"/>
    <n v="56"/>
    <n v="284"/>
  </r>
  <r>
    <x v="2"/>
    <x v="10"/>
    <x v="10"/>
    <x v="0"/>
    <n v="46"/>
    <n v="0.45"/>
    <n v="1.2608695652173914"/>
    <n v="58"/>
    <n v="27"/>
    <n v="42"/>
    <n v="65"/>
    <n v="100"/>
    <n v="56"/>
    <n v="132"/>
    <n v="87"/>
    <n v="79"/>
    <n v="68"/>
    <n v="32"/>
    <n v="53"/>
    <n v="91"/>
    <n v="31"/>
    <n v="66"/>
    <n v="24"/>
    <n v="65"/>
    <n v="622"/>
    <n v="60"/>
    <n v="28"/>
    <n v="79"/>
    <n v="83"/>
    <n v="100"/>
    <n v="53"/>
    <n v="38"/>
  </r>
  <r>
    <x v="2"/>
    <x v="10"/>
    <x v="10"/>
    <x v="3"/>
    <n v="54"/>
    <n v="0.45"/>
    <n v="1.2592592592592593"/>
    <n v="68"/>
    <n v="48"/>
    <n v="91"/>
    <n v="115"/>
    <n v="54"/>
    <n v="52"/>
    <n v="113"/>
    <n v="33"/>
    <n v="96"/>
    <n v="37"/>
    <n v="61"/>
    <n v="111"/>
    <n v="101"/>
    <n v="125"/>
    <n v="45"/>
    <n v="132"/>
    <n v="60"/>
    <n v="180"/>
    <n v="162"/>
    <n v="198"/>
    <n v="29"/>
    <n v="53"/>
    <n v="31"/>
    <n v="221"/>
    <n v="160"/>
  </r>
  <r>
    <x v="2"/>
    <x v="10"/>
    <x v="10"/>
    <x v="1"/>
    <n v="81"/>
    <n v="0.46"/>
    <n v="1.2469135802469136"/>
    <n v="101"/>
    <n v="49"/>
    <n v="125"/>
    <n v="82"/>
    <n v="46"/>
    <n v="104"/>
    <n v="73"/>
    <n v="53"/>
    <n v="71"/>
    <n v="76"/>
    <n v="132"/>
    <n v="123"/>
    <n v="49"/>
    <n v="46"/>
    <n v="80"/>
    <n v="68"/>
    <n v="113"/>
    <n v="750"/>
    <n v="117"/>
    <n v="46"/>
    <n v="62"/>
    <n v="96"/>
    <n v="10"/>
    <n v="62"/>
    <n v="12"/>
  </r>
  <r>
    <x v="2"/>
    <x v="11"/>
    <x v="11"/>
    <x v="1"/>
    <n v="46"/>
    <n v="0.68"/>
    <n v="1.2608695652173914"/>
    <n v="58"/>
    <n v="37"/>
    <n v="76"/>
    <n v="93"/>
    <n v="146"/>
    <n v="105"/>
    <n v="72"/>
    <n v="63"/>
    <n v="66"/>
    <n v="121"/>
    <n v="113"/>
    <n v="37"/>
    <n v="65"/>
    <n v="90"/>
    <n v="29"/>
    <n v="414"/>
    <n v="69"/>
    <n v="105"/>
    <n v="132"/>
    <n v="102"/>
    <n v="130"/>
    <n v="200"/>
    <n v="30"/>
    <n v="165"/>
    <n v="56"/>
  </r>
  <r>
    <x v="2"/>
    <x v="11"/>
    <x v="11"/>
    <x v="2"/>
    <n v="102"/>
    <n v="0.52"/>
    <n v="1.2549019607843137"/>
    <n v="128"/>
    <n v="17"/>
    <n v="62"/>
    <n v="69"/>
    <n v="84"/>
    <n v="49"/>
    <n v="73"/>
    <n v="105"/>
    <n v="53"/>
    <n v="80"/>
    <n v="55"/>
    <n v="96"/>
    <n v="43"/>
    <n v="47"/>
    <n v="119"/>
    <n v="169"/>
    <n v="37"/>
    <n v="42"/>
    <n v="492"/>
    <n v="174"/>
    <n v="5"/>
    <n v="125"/>
    <n v="5"/>
    <n v="210"/>
    <n v="224"/>
  </r>
  <r>
    <x v="2"/>
    <x v="11"/>
    <x v="11"/>
    <x v="1"/>
    <n v="89"/>
    <n v="0.68"/>
    <n v="1.247191011235955"/>
    <n v="111"/>
    <n v="44"/>
    <n v="63"/>
    <n v="62"/>
    <n v="89"/>
    <n v="90"/>
    <n v="60"/>
    <n v="105"/>
    <n v="91"/>
    <n v="31"/>
    <n v="101"/>
    <n v="112"/>
    <n v="47"/>
    <n v="104"/>
    <n v="167"/>
    <n v="187"/>
    <n v="30"/>
    <n v="209"/>
    <n v="185"/>
    <n v="70"/>
    <n v="146"/>
    <n v="99"/>
    <n v="226"/>
    <n v="28"/>
    <n v="139"/>
  </r>
  <r>
    <x v="2"/>
    <x v="11"/>
    <x v="11"/>
    <x v="0"/>
    <n v="60"/>
    <n v="0.5"/>
    <n v="1.25"/>
    <n v="75"/>
    <n v="55"/>
    <n v="51"/>
    <n v="44"/>
    <n v="116"/>
    <n v="84"/>
    <n v="111"/>
    <n v="108"/>
    <n v="91"/>
    <n v="89"/>
    <n v="72"/>
    <n v="90"/>
    <n v="110"/>
    <n v="85"/>
    <n v="107"/>
    <n v="108"/>
    <n v="80"/>
    <n v="256"/>
    <n v="138"/>
    <n v="106"/>
    <n v="169"/>
    <n v="303"/>
    <n v="7"/>
    <n v="310"/>
    <n v="341"/>
  </r>
  <r>
    <x v="2"/>
    <x v="0"/>
    <x v="0"/>
    <x v="0"/>
    <n v="21"/>
    <n v="0.55000000000000004"/>
    <n v="4.7142857142857144"/>
    <n v="99"/>
    <n v="16"/>
    <n v="74"/>
    <n v="79"/>
    <n v="54"/>
    <n v="112"/>
    <n v="45"/>
    <n v="52"/>
    <n v="65"/>
    <n v="51"/>
    <n v="79"/>
    <n v="98"/>
    <n v="47"/>
    <n v="32"/>
    <n v="62"/>
    <n v="69"/>
    <n v="182"/>
    <n v="885"/>
    <n v="60"/>
    <n v="83"/>
    <n v="732"/>
    <n v="50"/>
    <n v="18"/>
    <n v="55"/>
    <n v="20"/>
  </r>
  <r>
    <x v="2"/>
    <x v="0"/>
    <x v="0"/>
    <x v="0"/>
    <n v="46"/>
    <n v="0.31"/>
    <n v="1.1521739130434783"/>
    <n v="53"/>
    <n v="16"/>
    <n v="73"/>
    <n v="66"/>
    <n v="35"/>
    <n v="122"/>
    <n v="96"/>
    <n v="49"/>
    <n v="94"/>
    <n v="81"/>
    <n v="62"/>
    <n v="77"/>
    <n v="124"/>
    <n v="85"/>
    <n v="37"/>
    <n v="306"/>
    <n v="62"/>
    <n v="144"/>
    <n v="196"/>
    <n v="148"/>
    <n v="113"/>
    <n v="48"/>
    <n v="44"/>
    <n v="240"/>
    <n v="98"/>
  </r>
  <r>
    <x v="2"/>
    <x v="0"/>
    <x v="0"/>
    <x v="1"/>
    <n v="37"/>
    <n v="0.72"/>
    <n v="2.0810810810810811"/>
    <n v="77"/>
    <n v="33"/>
    <n v="94"/>
    <n v="106"/>
    <n v="136"/>
    <n v="77"/>
    <n v="63"/>
    <n v="100"/>
    <n v="65"/>
    <n v="91"/>
    <n v="66"/>
    <n v="69"/>
    <n v="91"/>
    <n v="76"/>
    <n v="79"/>
    <n v="224"/>
    <n v="217"/>
    <n v="20"/>
    <n v="485"/>
    <n v="166"/>
    <n v="54"/>
    <n v="78"/>
    <n v="232"/>
    <n v="172"/>
    <n v="165"/>
  </r>
  <r>
    <x v="2"/>
    <x v="0"/>
    <x v="0"/>
    <x v="0"/>
    <n v="31"/>
    <n v="0.56999999999999995"/>
    <n v="2.4838709677419355"/>
    <n v="77"/>
    <n v="25"/>
    <n v="82"/>
    <n v="144"/>
    <n v="110"/>
    <n v="83"/>
    <n v="83"/>
    <n v="101"/>
    <n v="85"/>
    <n v="57"/>
    <n v="56"/>
    <n v="86"/>
    <n v="45"/>
    <n v="95"/>
    <n v="63"/>
    <n v="130"/>
    <n v="355"/>
    <n v="670"/>
    <n v="45"/>
    <n v="180"/>
    <n v="74"/>
    <n v="92"/>
    <n v="228"/>
    <n v="93"/>
    <n v="138"/>
  </r>
  <r>
    <x v="2"/>
    <x v="1"/>
    <x v="1"/>
    <x v="3"/>
    <n v="27"/>
    <n v="0.39"/>
    <n v="0.85185185185185186"/>
    <n v="23"/>
    <n v="26"/>
    <n v="78"/>
    <n v="87"/>
    <n v="60"/>
    <n v="70"/>
    <n v="56"/>
    <n v="72"/>
    <n v="101"/>
    <n v="64"/>
    <n v="127"/>
    <n v="81"/>
    <n v="91"/>
    <n v="43"/>
    <n v="113"/>
    <n v="235"/>
    <n v="61"/>
    <n v="58"/>
    <n v="112"/>
    <n v="208"/>
    <n v="42"/>
    <n v="46"/>
    <n v="167"/>
    <n v="348"/>
    <n v="224"/>
  </r>
  <r>
    <x v="2"/>
    <x v="1"/>
    <x v="1"/>
    <x v="0"/>
    <n v="22"/>
    <n v="0.55000000000000004"/>
    <n v="3.9090909090909092"/>
    <n v="86"/>
    <n v="32"/>
    <n v="59"/>
    <n v="83"/>
    <n v="147"/>
    <n v="107"/>
    <n v="79"/>
    <n v="39"/>
    <n v="67"/>
    <n v="104"/>
    <n v="86"/>
    <n v="95"/>
    <n v="92"/>
    <n v="52"/>
    <n v="32"/>
    <n v="85"/>
    <n v="86"/>
    <n v="35"/>
    <n v="46"/>
    <n v="43"/>
    <n v="163"/>
    <n v="124"/>
    <n v="62"/>
    <n v="295"/>
    <n v="205"/>
  </r>
  <r>
    <x v="3"/>
    <x v="1"/>
    <x v="1"/>
    <x v="1"/>
    <n v="27"/>
    <n v="0.66"/>
    <n v="2.5925925925925926"/>
    <n v="70"/>
    <n v="27"/>
    <n v="62"/>
    <n v="69"/>
    <n v="39"/>
    <n v="126"/>
    <n v="50"/>
    <n v="148"/>
    <n v="111"/>
    <n v="56"/>
    <n v="48"/>
    <n v="89"/>
    <n v="34"/>
    <n v="28"/>
    <n v="116"/>
    <n v="24"/>
    <n v="327"/>
    <n v="172"/>
    <n v="266"/>
    <n v="189"/>
    <n v="505"/>
    <n v="204"/>
    <n v="12"/>
    <n v="339"/>
    <n v="27"/>
  </r>
  <r>
    <x v="3"/>
    <x v="1"/>
    <x v="1"/>
    <x v="2"/>
    <n v="27"/>
    <n v="0.43"/>
    <n v="4"/>
    <n v="108"/>
    <n v="31"/>
    <n v="95"/>
    <n v="74"/>
    <n v="48"/>
    <n v="38"/>
    <n v="57"/>
    <n v="86"/>
    <n v="40"/>
    <n v="72"/>
    <n v="105"/>
    <n v="71"/>
    <n v="131"/>
    <n v="74"/>
    <n v="75"/>
    <n v="55"/>
    <n v="897"/>
    <n v="20"/>
    <n v="277"/>
    <n v="252"/>
    <n v="88"/>
    <n v="48"/>
    <n v="180"/>
    <n v="63"/>
    <n v="134"/>
  </r>
  <r>
    <x v="3"/>
    <x v="2"/>
    <x v="2"/>
    <x v="2"/>
    <n v="23"/>
    <n v="0.64"/>
    <n v="1.0434782608695652"/>
    <n v="24"/>
    <n v="41"/>
    <n v="49"/>
    <n v="59"/>
    <n v="45"/>
    <n v="99"/>
    <n v="52"/>
    <n v="51"/>
    <n v="127"/>
    <n v="61"/>
    <n v="59"/>
    <n v="53"/>
    <n v="48"/>
    <n v="68"/>
    <n v="44"/>
    <n v="42"/>
    <n v="150"/>
    <n v="88"/>
    <n v="472"/>
    <n v="310"/>
    <n v="89"/>
    <n v="192"/>
    <n v="76"/>
    <n v="68"/>
    <n v="341"/>
  </r>
  <r>
    <x v="3"/>
    <x v="2"/>
    <x v="2"/>
    <x v="0"/>
    <n v="55"/>
    <n v="0.77"/>
    <n v="1.4"/>
    <n v="77"/>
    <n v="10"/>
    <n v="112"/>
    <n v="83"/>
    <n v="113"/>
    <n v="30"/>
    <n v="68"/>
    <n v="57"/>
    <n v="70"/>
    <n v="44"/>
    <n v="61"/>
    <n v="94"/>
    <n v="103"/>
    <n v="58"/>
    <n v="77"/>
    <n v="220"/>
    <n v="87"/>
    <n v="59"/>
    <n v="159"/>
    <n v="52"/>
    <n v="40"/>
    <n v="70"/>
    <n v="101"/>
    <n v="108"/>
    <n v="410"/>
  </r>
  <r>
    <x v="3"/>
    <x v="2"/>
    <x v="2"/>
    <x v="0"/>
    <n v="86"/>
    <n v="0.32"/>
    <n v="0.36046511627906974"/>
    <n v="31"/>
    <n v="35"/>
    <n v="43"/>
    <n v="107"/>
    <n v="69"/>
    <n v="31"/>
    <n v="51"/>
    <n v="102"/>
    <n v="56"/>
    <n v="73"/>
    <n v="86"/>
    <n v="93"/>
    <n v="95"/>
    <n v="121"/>
    <n v="30"/>
    <n v="115"/>
    <n v="31"/>
    <n v="187"/>
    <n v="112"/>
    <n v="213"/>
    <n v="193"/>
    <n v="126"/>
    <n v="618"/>
    <n v="235"/>
    <n v="29"/>
  </r>
  <r>
    <x v="3"/>
    <x v="2"/>
    <x v="2"/>
    <x v="3"/>
    <n v="25"/>
    <n v="0.47"/>
    <n v="1.44"/>
    <n v="36"/>
    <n v="30"/>
    <n v="120"/>
    <n v="41"/>
    <n v="49"/>
    <n v="81"/>
    <n v="137"/>
    <n v="40"/>
    <n v="111"/>
    <n v="138"/>
    <n v="61"/>
    <n v="30"/>
    <n v="62"/>
    <n v="72"/>
    <n v="96"/>
    <n v="62"/>
    <n v="215"/>
    <n v="120"/>
    <n v="378"/>
    <n v="111"/>
    <n v="85"/>
    <n v="163"/>
    <n v="28"/>
    <n v="157"/>
    <n v="236"/>
  </r>
  <r>
    <x v="3"/>
    <x v="3"/>
    <x v="3"/>
    <x v="3"/>
    <n v="49"/>
    <n v="0.75"/>
    <n v="1"/>
    <n v="49"/>
    <n v="19"/>
    <n v="99"/>
    <n v="102"/>
    <n v="106"/>
    <n v="66"/>
    <n v="26"/>
    <n v="38"/>
    <n v="64"/>
    <n v="58"/>
    <n v="143"/>
    <n v="102"/>
    <n v="51"/>
    <n v="48"/>
    <n v="81"/>
    <n v="22"/>
    <n v="42"/>
    <n v="95"/>
    <n v="104"/>
    <n v="368"/>
    <n v="389"/>
    <n v="368"/>
    <n v="39"/>
    <n v="124"/>
    <n v="354"/>
  </r>
  <r>
    <x v="3"/>
    <x v="3"/>
    <x v="3"/>
    <x v="2"/>
    <n v="71"/>
    <n v="0.38"/>
    <n v="0.61971830985915488"/>
    <n v="44"/>
    <n v="9"/>
    <n v="71"/>
    <n v="74"/>
    <n v="87"/>
    <n v="117"/>
    <n v="57"/>
    <n v="75"/>
    <n v="67"/>
    <n v="84"/>
    <n v="34"/>
    <n v="37"/>
    <n v="133"/>
    <n v="38"/>
    <n v="16"/>
    <n v="351"/>
    <n v="235"/>
    <n v="163"/>
    <n v="172"/>
    <n v="68"/>
    <n v="89"/>
    <n v="119"/>
    <n v="66"/>
    <n v="86"/>
    <n v="75"/>
  </r>
  <r>
    <x v="3"/>
    <x v="3"/>
    <x v="3"/>
    <x v="1"/>
    <n v="26"/>
    <n v="0.72"/>
    <n v="0.92307692307692313"/>
    <n v="24"/>
    <n v="16"/>
    <n v="82"/>
    <n v="43"/>
    <n v="118"/>
    <n v="83"/>
    <n v="45"/>
    <n v="78"/>
    <n v="43"/>
    <n v="142"/>
    <n v="118"/>
    <n v="59"/>
    <n v="45"/>
    <n v="71"/>
    <n v="65"/>
    <n v="152"/>
    <n v="106"/>
    <n v="93"/>
    <n v="226"/>
    <n v="40"/>
    <n v="287"/>
    <n v="66"/>
    <n v="64"/>
    <n v="26"/>
    <n v="97"/>
  </r>
  <r>
    <x v="3"/>
    <x v="3"/>
    <x v="3"/>
    <x v="1"/>
    <n v="41"/>
    <n v="0.46"/>
    <n v="1.1707317073170731"/>
    <n v="48"/>
    <n v="19"/>
    <n v="44"/>
    <n v="119"/>
    <n v="50"/>
    <n v="37"/>
    <n v="73"/>
    <n v="75"/>
    <n v="80"/>
    <n v="49"/>
    <n v="88"/>
    <n v="49"/>
    <n v="52"/>
    <n v="122"/>
    <n v="91"/>
    <n v="9"/>
    <n v="38"/>
    <n v="221"/>
    <n v="112"/>
    <n v="31"/>
    <n v="86"/>
    <n v="64"/>
    <n v="145"/>
    <n v="97"/>
    <n v="465"/>
  </r>
  <r>
    <x v="3"/>
    <x v="4"/>
    <x v="4"/>
    <x v="0"/>
    <n v="42"/>
    <n v="0.32"/>
    <n v="1.4047619047619047"/>
    <n v="59"/>
    <n v="29"/>
    <n v="50"/>
    <n v="63"/>
    <n v="89"/>
    <n v="100"/>
    <n v="55"/>
    <n v="62"/>
    <n v="62"/>
    <n v="75"/>
    <n v="47"/>
    <n v="102"/>
    <n v="72"/>
    <n v="50"/>
    <n v="68"/>
    <n v="135"/>
    <n v="37"/>
    <n v="298"/>
    <n v="111"/>
    <n v="130"/>
    <n v="63"/>
    <n v="91"/>
    <n v="91"/>
    <n v="48"/>
    <n v="143"/>
  </r>
  <r>
    <x v="3"/>
    <x v="4"/>
    <x v="4"/>
    <x v="2"/>
    <n v="55"/>
    <n v="0.35"/>
    <n v="0.50909090909090904"/>
    <n v="28"/>
    <n v="33"/>
    <n v="102"/>
    <n v="31"/>
    <n v="55"/>
    <n v="131"/>
    <n v="51"/>
    <n v="69"/>
    <n v="50"/>
    <n v="56"/>
    <n v="80"/>
    <n v="86"/>
    <n v="45"/>
    <n v="51"/>
    <n v="18"/>
    <n v="314"/>
    <n v="63"/>
    <n v="312"/>
    <n v="233"/>
    <n v="63"/>
    <n v="27"/>
    <n v="185"/>
    <n v="71"/>
    <n v="110"/>
    <n v="78"/>
  </r>
  <r>
    <x v="3"/>
    <x v="4"/>
    <x v="4"/>
    <x v="0"/>
    <n v="32"/>
    <n v="0.41"/>
    <n v="1.90625"/>
    <n v="61"/>
    <n v="19"/>
    <n v="127"/>
    <n v="68"/>
    <n v="46"/>
    <n v="105"/>
    <n v="43"/>
    <n v="113"/>
    <n v="89"/>
    <n v="48"/>
    <n v="59"/>
    <n v="146"/>
    <n v="63"/>
    <n v="54"/>
    <n v="52"/>
    <n v="56"/>
    <n v="375"/>
    <n v="195"/>
    <n v="30"/>
    <n v="23"/>
    <n v="596"/>
    <n v="97"/>
    <n v="69"/>
    <n v="106"/>
    <n v="238"/>
  </r>
  <r>
    <x v="3"/>
    <x v="4"/>
    <x v="4"/>
    <x v="3"/>
    <n v="32"/>
    <n v="0.32"/>
    <n v="2.375"/>
    <n v="76"/>
    <n v="41"/>
    <n v="91"/>
    <n v="42"/>
    <n v="111"/>
    <n v="113"/>
    <n v="46"/>
    <n v="94"/>
    <n v="57"/>
    <n v="36"/>
    <n v="89"/>
    <n v="110"/>
    <n v="68"/>
    <n v="75"/>
    <n v="25"/>
    <n v="400"/>
    <n v="126"/>
    <n v="440"/>
    <n v="36"/>
    <n v="169"/>
    <n v="407"/>
    <n v="217"/>
    <n v="96"/>
    <n v="115"/>
    <n v="72"/>
  </r>
  <r>
    <x v="3"/>
    <x v="5"/>
    <x v="5"/>
    <x v="0"/>
    <n v="44"/>
    <n v="0.33"/>
    <n v="1.3636363636363635"/>
    <n v="60"/>
    <n v="36"/>
    <n v="112"/>
    <n v="59"/>
    <n v="133"/>
    <n v="75"/>
    <n v="95"/>
    <n v="46"/>
    <n v="52"/>
    <n v="98"/>
    <n v="56"/>
    <n v="129"/>
    <n v="112"/>
    <n v="100"/>
    <n v="49"/>
    <n v="173"/>
    <n v="325"/>
    <n v="152"/>
    <n v="73"/>
    <n v="56"/>
    <n v="113"/>
    <n v="36"/>
    <n v="260"/>
    <n v="522"/>
    <n v="132"/>
  </r>
  <r>
    <x v="3"/>
    <x v="5"/>
    <x v="5"/>
    <x v="1"/>
    <n v="42"/>
    <n v="0.32"/>
    <n v="2.1428571428571428"/>
    <n v="90"/>
    <n v="10"/>
    <n v="43"/>
    <n v="79"/>
    <n v="67"/>
    <n v="107"/>
    <n v="78"/>
    <n v="100"/>
    <n v="64"/>
    <n v="79"/>
    <n v="127"/>
    <n v="49"/>
    <n v="76"/>
    <n v="93"/>
    <n v="18"/>
    <n v="103"/>
    <n v="202"/>
    <n v="78"/>
    <n v="267"/>
    <n v="165"/>
    <n v="37"/>
    <n v="171"/>
    <n v="38"/>
    <n v="85"/>
    <n v="62"/>
  </r>
  <r>
    <x v="3"/>
    <x v="5"/>
    <x v="5"/>
    <x v="3"/>
    <n v="81"/>
    <n v="0.37"/>
    <n v="1.1234567901234569"/>
    <n v="91"/>
    <n v="39"/>
    <n v="59"/>
    <n v="101"/>
    <n v="71"/>
    <n v="84"/>
    <n v="51"/>
    <n v="92"/>
    <n v="127"/>
    <n v="64"/>
    <n v="45"/>
    <n v="53"/>
    <n v="42"/>
    <n v="116"/>
    <n v="64"/>
    <n v="80"/>
    <n v="121"/>
    <n v="88"/>
    <n v="209"/>
    <n v="70"/>
    <n v="316"/>
    <n v="384"/>
    <n v="218"/>
    <n v="290"/>
    <n v="226"/>
  </r>
  <r>
    <x v="3"/>
    <x v="5"/>
    <x v="5"/>
    <x v="1"/>
    <n v="46"/>
    <n v="0.52"/>
    <n v="1.2173913043478262"/>
    <n v="56"/>
    <n v="8"/>
    <n v="49"/>
    <n v="91"/>
    <n v="102"/>
    <n v="71"/>
    <n v="142"/>
    <n v="119"/>
    <n v="78"/>
    <n v="37"/>
    <n v="84"/>
    <n v="34"/>
    <n v="66"/>
    <n v="94"/>
    <n v="63"/>
    <n v="36"/>
    <n v="145"/>
    <n v="116"/>
    <n v="47"/>
    <n v="43"/>
    <n v="89"/>
    <n v="70"/>
    <n v="363"/>
    <n v="306"/>
    <n v="165"/>
  </r>
  <r>
    <x v="3"/>
    <x v="6"/>
    <x v="6"/>
    <x v="1"/>
    <n v="44"/>
    <n v="0.62"/>
    <n v="1.3181818181818181"/>
    <n v="58"/>
    <n v="33"/>
    <n v="119"/>
    <n v="62"/>
    <n v="130"/>
    <n v="93"/>
    <n v="100"/>
    <n v="125"/>
    <n v="91"/>
    <n v="47"/>
    <n v="142"/>
    <n v="51"/>
    <n v="74"/>
    <n v="93"/>
    <n v="50"/>
    <n v="8"/>
    <n v="706"/>
    <n v="134"/>
    <n v="210"/>
    <n v="122"/>
    <n v="196"/>
    <n v="130"/>
    <n v="141"/>
    <n v="339"/>
    <n v="6"/>
  </r>
  <r>
    <x v="3"/>
    <x v="6"/>
    <x v="6"/>
    <x v="3"/>
    <n v="72"/>
    <n v="0.51"/>
    <n v="1.4027777777777777"/>
    <n v="101"/>
    <n v="14"/>
    <n v="68"/>
    <n v="49"/>
    <n v="143"/>
    <n v="113"/>
    <n v="128"/>
    <n v="98"/>
    <n v="64"/>
    <n v="88"/>
    <n v="46"/>
    <n v="92"/>
    <n v="38"/>
    <n v="58"/>
    <n v="66"/>
    <n v="170"/>
    <n v="87"/>
    <n v="130"/>
    <n v="31"/>
    <n v="174"/>
    <n v="187"/>
    <n v="81"/>
    <n v="74"/>
    <n v="64"/>
    <n v="70"/>
  </r>
  <r>
    <x v="3"/>
    <x v="6"/>
    <x v="6"/>
    <x v="1"/>
    <n v="72"/>
    <n v="0.57999999999999996"/>
    <n v="0.72222222222222221"/>
    <n v="52"/>
    <n v="24"/>
    <n v="36"/>
    <n v="84"/>
    <n v="101"/>
    <n v="42"/>
    <n v="47"/>
    <n v="57"/>
    <n v="54"/>
    <n v="132"/>
    <n v="95"/>
    <n v="130"/>
    <n v="113"/>
    <n v="103"/>
    <n v="125"/>
    <n v="240"/>
    <n v="66"/>
    <n v="392"/>
    <n v="192"/>
    <n v="73"/>
    <n v="57"/>
    <n v="130"/>
    <n v="44"/>
    <n v="48"/>
    <n v="50"/>
  </r>
  <r>
    <x v="3"/>
    <x v="6"/>
    <x v="6"/>
    <x v="3"/>
    <n v="48"/>
    <n v="0.43"/>
    <n v="1.1458333333333333"/>
    <n v="55"/>
    <n v="30"/>
    <n v="62"/>
    <n v="94"/>
    <n v="89"/>
    <n v="61"/>
    <n v="48"/>
    <n v="59"/>
    <n v="42"/>
    <n v="71"/>
    <n v="85"/>
    <n v="69"/>
    <n v="83"/>
    <n v="54"/>
    <n v="37"/>
    <n v="333"/>
    <n v="204"/>
    <n v="278"/>
    <n v="186"/>
    <n v="58"/>
    <n v="6"/>
    <n v="428"/>
    <n v="266"/>
    <n v="865"/>
    <n v="100"/>
  </r>
  <r>
    <x v="3"/>
    <x v="7"/>
    <x v="7"/>
    <x v="0"/>
    <n v="60"/>
    <n v="0.3"/>
    <n v="0.66666666666666663"/>
    <n v="40"/>
    <n v="14"/>
    <n v="43"/>
    <n v="75"/>
    <n v="88"/>
    <n v="107"/>
    <n v="54"/>
    <n v="83"/>
    <n v="101"/>
    <n v="98"/>
    <n v="37"/>
    <n v="103"/>
    <n v="79"/>
    <n v="25"/>
    <n v="68"/>
    <n v="56"/>
    <n v="27"/>
    <n v="119"/>
    <n v="130"/>
    <n v="289"/>
    <n v="362"/>
    <n v="62"/>
    <n v="222"/>
    <n v="75"/>
    <n v="223"/>
  </r>
  <r>
    <x v="3"/>
    <x v="7"/>
    <x v="7"/>
    <x v="1"/>
    <n v="49"/>
    <n v="0.52"/>
    <n v="0.81632653061224492"/>
    <n v="40"/>
    <n v="40"/>
    <n v="76"/>
    <n v="113"/>
    <n v="90"/>
    <n v="118"/>
    <n v="82"/>
    <n v="51"/>
    <n v="109"/>
    <n v="133"/>
    <n v="44"/>
    <n v="28"/>
    <n v="78"/>
    <n v="44"/>
    <n v="76"/>
    <n v="187"/>
    <n v="104"/>
    <n v="145"/>
    <n v="208"/>
    <n v="9"/>
    <n v="48"/>
    <n v="40"/>
    <n v="44"/>
    <n v="17"/>
    <n v="153"/>
  </r>
  <r>
    <x v="3"/>
    <x v="7"/>
    <x v="7"/>
    <x v="3"/>
    <n v="23"/>
    <n v="0.35"/>
    <n v="3"/>
    <n v="69"/>
    <n v="17"/>
    <n v="121"/>
    <n v="95"/>
    <n v="100"/>
    <n v="68"/>
    <n v="104"/>
    <n v="55"/>
    <n v="62"/>
    <n v="113"/>
    <n v="126"/>
    <n v="57"/>
    <n v="74"/>
    <n v="61"/>
    <n v="52"/>
    <n v="106"/>
    <n v="101"/>
    <n v="72"/>
    <n v="122"/>
    <n v="77"/>
    <n v="183"/>
    <n v="5"/>
    <n v="28"/>
    <n v="100"/>
    <n v="5"/>
  </r>
  <r>
    <x v="3"/>
    <x v="7"/>
    <x v="7"/>
    <x v="3"/>
    <n v="47"/>
    <n v="0.69"/>
    <n v="1.1276595744680851"/>
    <n v="53"/>
    <n v="19"/>
    <n v="57"/>
    <n v="91"/>
    <n v="98"/>
    <n v="97"/>
    <n v="102"/>
    <n v="84"/>
    <n v="85"/>
    <n v="98"/>
    <n v="141"/>
    <n v="37"/>
    <n v="69"/>
    <n v="56"/>
    <n v="38"/>
    <n v="1"/>
    <n v="168"/>
    <n v="209"/>
    <n v="281"/>
    <n v="680"/>
    <n v="154"/>
    <n v="2"/>
    <n v="78"/>
    <n v="198"/>
    <n v="229"/>
  </r>
  <r>
    <x v="3"/>
    <x v="8"/>
    <x v="8"/>
    <x v="1"/>
    <n v="38"/>
    <n v="0.59"/>
    <n v="1.3421052631578947"/>
    <n v="51"/>
    <n v="21"/>
    <n v="64"/>
    <n v="62"/>
    <n v="57"/>
    <n v="49"/>
    <n v="141"/>
    <n v="114"/>
    <n v="103"/>
    <n v="41"/>
    <n v="40"/>
    <n v="58"/>
    <n v="78"/>
    <n v="46"/>
    <n v="81"/>
    <n v="174"/>
    <n v="74"/>
    <n v="465"/>
    <n v="159"/>
    <n v="72"/>
    <n v="99"/>
    <n v="116"/>
    <n v="129"/>
    <n v="54"/>
    <n v="169"/>
  </r>
  <r>
    <x v="3"/>
    <x v="8"/>
    <x v="8"/>
    <x v="2"/>
    <n v="19"/>
    <n v="0.75"/>
    <n v="1.736842105263158"/>
    <n v="33"/>
    <n v="28"/>
    <n v="66"/>
    <n v="138"/>
    <n v="36"/>
    <n v="125"/>
    <n v="39"/>
    <n v="53"/>
    <n v="84"/>
    <n v="81"/>
    <n v="85"/>
    <n v="126"/>
    <n v="69"/>
    <n v="90"/>
    <n v="43"/>
    <n v="602"/>
    <n v="88"/>
    <n v="200"/>
    <n v="18"/>
    <n v="52"/>
    <n v="24"/>
    <n v="385"/>
    <n v="60"/>
    <n v="51"/>
    <n v="74"/>
  </r>
  <r>
    <x v="3"/>
    <x v="8"/>
    <x v="8"/>
    <x v="1"/>
    <n v="35"/>
    <n v="0.76"/>
    <n v="2.5428571428571427"/>
    <n v="89"/>
    <n v="26"/>
    <n v="57"/>
    <n v="95"/>
    <n v="104"/>
    <n v="35"/>
    <n v="42"/>
    <n v="74"/>
    <n v="45"/>
    <n v="47"/>
    <n v="123"/>
    <n v="51"/>
    <n v="131"/>
    <n v="93"/>
    <n v="102"/>
    <n v="149"/>
    <n v="368"/>
    <n v="244"/>
    <n v="29"/>
    <n v="51"/>
    <n v="294"/>
    <n v="140"/>
    <n v="132"/>
    <n v="137"/>
    <n v="101"/>
  </r>
  <r>
    <x v="3"/>
    <x v="8"/>
    <x v="8"/>
    <x v="0"/>
    <n v="39"/>
    <n v="0.68"/>
    <n v="1.5641025641025641"/>
    <n v="61"/>
    <n v="9"/>
    <n v="64"/>
    <n v="81"/>
    <n v="48"/>
    <n v="44"/>
    <n v="91"/>
    <n v="104"/>
    <n v="89"/>
    <n v="104"/>
    <n v="48"/>
    <n v="118"/>
    <n v="116"/>
    <n v="51"/>
    <n v="77"/>
    <n v="36"/>
    <n v="477"/>
    <n v="36"/>
    <n v="89"/>
    <n v="246"/>
    <n v="47"/>
    <n v="50"/>
    <n v="39"/>
    <n v="76"/>
    <n v="197"/>
  </r>
  <r>
    <x v="3"/>
    <x v="9"/>
    <x v="9"/>
    <x v="3"/>
    <n v="29"/>
    <n v="0.33"/>
    <n v="1.0689655172413792"/>
    <n v="31"/>
    <n v="31"/>
    <n v="87"/>
    <n v="110"/>
    <n v="94"/>
    <n v="129"/>
    <n v="39"/>
    <n v="39"/>
    <n v="126"/>
    <n v="53"/>
    <n v="112"/>
    <n v="54"/>
    <n v="40"/>
    <n v="56"/>
    <n v="90"/>
    <n v="32"/>
    <n v="281"/>
    <n v="275"/>
    <n v="176"/>
    <n v="67"/>
    <n v="73"/>
    <n v="171"/>
    <n v="36"/>
    <n v="135"/>
    <n v="16"/>
  </r>
  <r>
    <x v="3"/>
    <x v="9"/>
    <x v="9"/>
    <x v="1"/>
    <n v="25"/>
    <n v="0.6"/>
    <n v="4.28"/>
    <n v="107"/>
    <n v="33"/>
    <n v="75"/>
    <n v="50"/>
    <n v="71"/>
    <n v="80"/>
    <n v="86"/>
    <n v="50"/>
    <n v="95"/>
    <n v="70"/>
    <n v="114"/>
    <n v="85"/>
    <n v="58"/>
    <n v="54"/>
    <n v="104"/>
    <n v="211"/>
    <n v="397"/>
    <n v="80"/>
    <n v="60"/>
    <n v="175"/>
    <n v="104"/>
    <n v="254"/>
    <n v="71"/>
    <n v="164"/>
    <n v="231"/>
  </r>
  <r>
    <x v="3"/>
    <x v="9"/>
    <x v="9"/>
    <x v="0"/>
    <n v="62"/>
    <n v="0.56999999999999995"/>
    <n v="1.1129032258064515"/>
    <n v="69"/>
    <n v="30"/>
    <n v="47"/>
    <n v="101"/>
    <n v="73"/>
    <n v="51"/>
    <n v="123"/>
    <n v="90"/>
    <n v="66"/>
    <n v="53"/>
    <n v="33"/>
    <n v="89"/>
    <n v="71"/>
    <n v="54"/>
    <n v="32"/>
    <n v="22"/>
    <n v="366"/>
    <n v="140"/>
    <n v="154"/>
    <n v="16"/>
    <n v="52"/>
    <n v="22"/>
    <n v="96"/>
    <n v="480"/>
    <n v="16"/>
  </r>
  <r>
    <x v="3"/>
    <x v="9"/>
    <x v="9"/>
    <x v="3"/>
    <n v="19"/>
    <n v="0.68"/>
    <n v="1.5263157894736843"/>
    <n v="29"/>
    <n v="37"/>
    <n v="48"/>
    <n v="71"/>
    <n v="56"/>
    <n v="65"/>
    <n v="57"/>
    <n v="77"/>
    <n v="83"/>
    <n v="84"/>
    <n v="90"/>
    <n v="69"/>
    <n v="60"/>
    <n v="126"/>
    <n v="73"/>
    <n v="137"/>
    <n v="156"/>
    <n v="677"/>
    <n v="77"/>
    <n v="175"/>
    <n v="10"/>
    <n v="11"/>
    <n v="44"/>
    <n v="191"/>
    <n v="80"/>
  </r>
  <r>
    <x v="3"/>
    <x v="10"/>
    <x v="10"/>
    <x v="2"/>
    <n v="86"/>
    <n v="0.66"/>
    <n v="0.91860465116279066"/>
    <n v="79"/>
    <n v="29"/>
    <n v="68"/>
    <n v="60"/>
    <n v="43"/>
    <n v="55"/>
    <n v="142"/>
    <n v="49"/>
    <n v="103"/>
    <n v="96"/>
    <n v="123"/>
    <n v="110"/>
    <n v="53"/>
    <n v="79"/>
    <n v="120"/>
    <n v="212"/>
    <n v="42"/>
    <n v="253"/>
    <n v="20"/>
    <n v="88"/>
    <n v="57"/>
    <n v="55"/>
    <n v="16"/>
    <n v="143"/>
    <n v="17"/>
  </r>
  <r>
    <x v="3"/>
    <x v="10"/>
    <x v="10"/>
    <x v="3"/>
    <n v="56"/>
    <n v="0.62"/>
    <n v="0.9821428571428571"/>
    <n v="55"/>
    <n v="32"/>
    <n v="86"/>
    <n v="90"/>
    <n v="65"/>
    <n v="80"/>
    <n v="82"/>
    <n v="85"/>
    <n v="113"/>
    <n v="76"/>
    <n v="113"/>
    <n v="40"/>
    <n v="38"/>
    <n v="73"/>
    <n v="121"/>
    <n v="76"/>
    <n v="85"/>
    <n v="12"/>
    <n v="105"/>
    <n v="177"/>
    <n v="93"/>
    <n v="238"/>
    <n v="207"/>
    <n v="313"/>
    <n v="127"/>
  </r>
  <r>
    <x v="3"/>
    <x v="10"/>
    <x v="10"/>
    <x v="0"/>
    <n v="69"/>
    <n v="0.38"/>
    <n v="0.40579710144927539"/>
    <n v="28"/>
    <n v="42"/>
    <n v="93"/>
    <n v="62"/>
    <n v="43"/>
    <n v="100"/>
    <n v="101"/>
    <n v="114"/>
    <n v="93"/>
    <n v="72"/>
    <n v="66"/>
    <n v="44"/>
    <n v="59"/>
    <n v="70"/>
    <n v="70"/>
    <n v="231"/>
    <n v="54"/>
    <n v="93"/>
    <n v="157"/>
    <n v="468"/>
    <n v="119"/>
    <n v="281"/>
    <n v="130"/>
    <n v="10"/>
    <n v="77"/>
  </r>
  <r>
    <x v="3"/>
    <x v="10"/>
    <x v="10"/>
    <x v="0"/>
    <n v="18"/>
    <n v="0.67"/>
    <n v="3.3888888888888888"/>
    <n v="61"/>
    <n v="8"/>
    <n v="51"/>
    <n v="54"/>
    <n v="47"/>
    <n v="71"/>
    <n v="119"/>
    <n v="70"/>
    <n v="75"/>
    <n v="71"/>
    <n v="62"/>
    <n v="82"/>
    <n v="42"/>
    <n v="92"/>
    <n v="65"/>
    <n v="18"/>
    <n v="343"/>
    <n v="55"/>
    <n v="219"/>
    <n v="135"/>
    <n v="10"/>
    <n v="168"/>
    <n v="115"/>
    <n v="572"/>
    <n v="156"/>
  </r>
  <r>
    <x v="3"/>
    <x v="11"/>
    <x v="11"/>
    <x v="1"/>
    <n v="61"/>
    <n v="0.3"/>
    <n v="0.63934426229508201"/>
    <n v="39"/>
    <n v="41"/>
    <n v="69"/>
    <n v="30"/>
    <n v="98"/>
    <n v="85"/>
    <n v="108"/>
    <n v="98"/>
    <n v="66"/>
    <n v="48"/>
    <n v="41"/>
    <n v="50"/>
    <n v="82"/>
    <n v="38"/>
    <n v="102"/>
    <n v="31"/>
    <n v="182"/>
    <n v="71"/>
    <n v="10"/>
    <n v="15"/>
    <n v="29"/>
    <n v="41"/>
    <n v="152"/>
    <n v="308"/>
    <n v="57"/>
  </r>
  <r>
    <x v="3"/>
    <x v="11"/>
    <x v="11"/>
    <x v="1"/>
    <n v="62"/>
    <n v="0.73"/>
    <n v="0.74193548387096775"/>
    <n v="46"/>
    <n v="22"/>
    <n v="90"/>
    <n v="86"/>
    <n v="39"/>
    <n v="84"/>
    <n v="62"/>
    <n v="42"/>
    <n v="82"/>
    <n v="61"/>
    <n v="56"/>
    <n v="39"/>
    <n v="104"/>
    <n v="65"/>
    <n v="57"/>
    <n v="72"/>
    <n v="210"/>
    <n v="106"/>
    <n v="134"/>
    <n v="122"/>
    <n v="109"/>
    <n v="26"/>
    <n v="817"/>
    <n v="172"/>
    <n v="35"/>
  </r>
  <r>
    <x v="3"/>
    <x v="11"/>
    <x v="11"/>
    <x v="1"/>
    <n v="42"/>
    <n v="0.66"/>
    <n v="1.3571428571428572"/>
    <n v="57"/>
    <n v="41"/>
    <n v="57"/>
    <n v="85"/>
    <n v="149"/>
    <n v="78"/>
    <n v="66"/>
    <n v="77"/>
    <n v="120"/>
    <n v="29"/>
    <n v="70"/>
    <n v="72"/>
    <n v="87"/>
    <n v="86"/>
    <n v="33"/>
    <n v="28"/>
    <n v="208"/>
    <n v="124"/>
    <n v="170"/>
    <n v="212"/>
    <n v="72"/>
    <n v="11"/>
    <n v="136"/>
    <n v="298"/>
    <n v="585"/>
  </r>
  <r>
    <x v="3"/>
    <x v="11"/>
    <x v="11"/>
    <x v="3"/>
    <n v="79"/>
    <n v="0.34"/>
    <n v="0.34177215189873417"/>
    <n v="27"/>
    <n v="13"/>
    <n v="39"/>
    <n v="99"/>
    <n v="85"/>
    <n v="54"/>
    <n v="51"/>
    <n v="88"/>
    <n v="85"/>
    <n v="62"/>
    <n v="101"/>
    <n v="131"/>
    <n v="118"/>
    <n v="26"/>
    <n v="121"/>
    <n v="144"/>
    <n v="80"/>
    <n v="102"/>
    <n v="372"/>
    <n v="85"/>
    <n v="44"/>
    <n v="200"/>
    <n v="13"/>
    <n v="123"/>
    <n v="43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FC28730-CED5-43AE-883B-6E95E17959B4}" name="PivotTable2" cacheId="1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O6:AZ7" firstHeaderRow="0" firstDataRow="1" firstDataCol="0" rowPageCount="1" colPageCount="1"/>
  <pivotFields count="32">
    <pivotField axis="axisPage" multipleItemSelectionAllowed="1" showAll="0">
      <items count="5">
        <item h="1" x="3"/>
        <item h="1" x="2"/>
        <item h="1" x="1"/>
        <item x="0"/>
        <item t="default"/>
      </items>
    </pivotField>
    <pivotField showAll="0">
      <items count="13">
        <item x="0"/>
        <item x="1"/>
        <item x="2"/>
        <item x="3"/>
        <item x="4"/>
        <item x="5"/>
        <item x="6"/>
        <item x="7"/>
        <item x="8"/>
        <item x="9"/>
        <item x="10"/>
        <item x="11"/>
        <item t="default"/>
      </items>
    </pivotField>
    <pivotField showAll="0"/>
    <pivotField showAll="0">
      <items count="5">
        <item x="3"/>
        <item x="2"/>
        <item x="1"/>
        <item x="0"/>
        <item t="default"/>
      </items>
    </pivotField>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s>
  <rowItems count="1">
    <i/>
  </rowItems>
  <colFields count="1">
    <field x="-2"/>
  </colFields>
  <colItems count="12">
    <i>
      <x/>
    </i>
    <i i="1">
      <x v="1"/>
    </i>
    <i i="2">
      <x v="2"/>
    </i>
    <i i="3">
      <x v="3"/>
    </i>
    <i i="4">
      <x v="4"/>
    </i>
    <i i="5">
      <x v="5"/>
    </i>
    <i i="6">
      <x v="6"/>
    </i>
    <i i="7">
      <x v="7"/>
    </i>
    <i i="8">
      <x v="8"/>
    </i>
    <i i="9">
      <x v="9"/>
    </i>
    <i i="10">
      <x v="10"/>
    </i>
    <i i="11">
      <x v="11"/>
    </i>
  </colItems>
  <pageFields count="1">
    <pageField fld="0" hier="-1"/>
  </pageFields>
  <dataFields count="12">
    <dataField name="Sum of Storage-I" fld="9" baseField="0" baseItem="0"/>
    <dataField name="Sum of Handling-I" fld="10" baseField="0" baseItem="0"/>
    <dataField name="Sum of Packaging-I" fld="11" baseField="0" baseItem="0"/>
    <dataField name="Sum of Automation-I" fld="12" baseField="0" baseItem="0"/>
    <dataField name="Sum of Accessories-I" fld="13" baseField="0" baseItem="0"/>
    <dataField name="Sum of Containers-I" fld="14" baseField="0" baseItem="0"/>
    <dataField name="Sum of Storage-S" fld="15" baseField="0" baseItem="0"/>
    <dataField name="Sum of Handling-S" fld="16" baseField="0" baseItem="0"/>
    <dataField name="Sum of Packaging-S" fld="17" baseField="0" baseItem="0"/>
    <dataField name="Sum of Automation-S" fld="18" baseField="0" baseItem="0"/>
    <dataField name="Sum of Accessories-S" fld="19" baseField="0" baseItem="0"/>
    <dataField name="Sum of Containers-S" fld="2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DD4D889-F0DB-43B2-98F8-0EA80BF666BC}" name="PivotTable1" cacheId="1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V6:W11" firstHeaderRow="1" firstDataRow="1" firstDataCol="1" rowPageCount="1" colPageCount="1"/>
  <pivotFields count="32">
    <pivotField axis="axisPage" multipleItemSelectionAllowed="1" showAll="0">
      <items count="5">
        <item h="1" x="3"/>
        <item h="1" x="2"/>
        <item h="1" x="1"/>
        <item x="0"/>
        <item t="default"/>
      </items>
    </pivotField>
    <pivotField showAll="0">
      <items count="13">
        <item x="0"/>
        <item x="1"/>
        <item x="2"/>
        <item x="3"/>
        <item x="4"/>
        <item x="5"/>
        <item x="6"/>
        <item x="7"/>
        <item x="8"/>
        <item x="9"/>
        <item x="10"/>
        <item x="11"/>
        <item t="default"/>
      </items>
    </pivotField>
    <pivotField showAll="0"/>
    <pivotField axis="axisRow" showAll="0">
      <items count="5">
        <item x="3"/>
        <item x="2"/>
        <item x="1"/>
        <item x="0"/>
        <item t="default"/>
      </items>
    </pivotField>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
  </rowFields>
  <rowItems count="5">
    <i>
      <x/>
    </i>
    <i>
      <x v="1"/>
    </i>
    <i>
      <x v="2"/>
    </i>
    <i>
      <x v="3"/>
    </i>
    <i t="grand">
      <x/>
    </i>
  </rowItems>
  <colItems count="1">
    <i/>
  </colItems>
  <pageFields count="1">
    <pageField fld="0" hier="-1"/>
  </pageFields>
  <dataFields count="1">
    <dataField name="Sum of Sale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F23646B-0F07-4F21-9646-8AD3F849C3BC}" name="PivotTable5" cacheId="1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B6:F19" firstHeaderRow="0" firstDataRow="1" firstDataCol="1" rowPageCount="1" colPageCount="1"/>
  <pivotFields count="32">
    <pivotField axis="axisPage" multipleItemSelectionAllowed="1" showAll="0">
      <items count="5">
        <item h="1" x="3"/>
        <item h="1" x="2"/>
        <item h="1" x="1"/>
        <item x="0"/>
        <item t="default"/>
      </items>
    </pivotField>
    <pivotField axis="axisRow" showAll="0">
      <items count="13">
        <item x="0"/>
        <item x="1"/>
        <item x="2"/>
        <item x="3"/>
        <item x="4"/>
        <item x="5"/>
        <item x="6"/>
        <item x="7"/>
        <item x="8"/>
        <item x="9"/>
        <item x="10"/>
        <item x="11"/>
        <item t="default"/>
      </items>
    </pivotField>
    <pivotField showAll="0">
      <items count="13">
        <item h="1" x="0"/>
        <item h="1" x="1"/>
        <item h="1" x="2"/>
        <item h="1" x="3"/>
        <item h="1" x="4"/>
        <item h="1" x="5"/>
        <item h="1" x="6"/>
        <item h="1" x="7"/>
        <item x="8"/>
        <item h="1" x="9"/>
        <item h="1" x="10"/>
        <item h="1" x="11"/>
        <item t="default"/>
      </items>
    </pivotField>
    <pivotField showAll="0"/>
    <pivotField dataField="1"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3">
    <i>
      <x/>
    </i>
    <i>
      <x v="1"/>
    </i>
    <i>
      <x v="2"/>
    </i>
    <i>
      <x v="3"/>
    </i>
    <i>
      <x v="4"/>
    </i>
    <i>
      <x v="5"/>
    </i>
    <i>
      <x v="6"/>
    </i>
    <i>
      <x v="7"/>
    </i>
    <i>
      <x v="8"/>
    </i>
    <i>
      <x v="9"/>
    </i>
    <i>
      <x v="10"/>
    </i>
    <i>
      <x v="11"/>
    </i>
    <i t="grand">
      <x/>
    </i>
  </rowItems>
  <colFields count="1">
    <field x="-2"/>
  </colFields>
  <colItems count="4">
    <i>
      <x/>
    </i>
    <i i="1">
      <x v="1"/>
    </i>
    <i i="2">
      <x v="2"/>
    </i>
    <i i="3">
      <x v="3"/>
    </i>
  </colItems>
  <pageFields count="1">
    <pageField fld="0" hier="-1"/>
  </pageFields>
  <dataFields count="4">
    <dataField name=" New Clients" fld="4" baseField="0" baseItem="0"/>
    <dataField name="Sum of Sales" fld="7" baseField="0" baseItem="0"/>
    <dataField name="Sum of Cost" fld="8" baseField="0" baseItem="0"/>
    <dataField name=" Avg Check" fld="6" baseField="0" baseItem="0"/>
  </dataFields>
  <formats count="1">
    <format dxfId="9">
      <pivotArea dataOnly="0"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740BD0C-26E6-4A17-8913-B326BC6CAC59}" name="PivotTable7" cacheId="1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S6:T11" firstHeaderRow="1" firstDataRow="1" firstDataCol="1" rowPageCount="1" colPageCount="1"/>
  <pivotFields count="32">
    <pivotField axis="axisPage" multipleItemSelectionAllowed="1" showAll="0">
      <items count="5">
        <item h="1" x="3"/>
        <item h="1" x="2"/>
        <item h="1" x="1"/>
        <item x="0"/>
        <item t="default"/>
      </items>
    </pivotField>
    <pivotField showAll="0">
      <items count="13">
        <item x="0"/>
        <item x="1"/>
        <item x="2"/>
        <item x="3"/>
        <item x="4"/>
        <item x="5"/>
        <item x="6"/>
        <item x="7"/>
        <item x="8"/>
        <item x="9"/>
        <item x="10"/>
        <item x="11"/>
        <item t="default"/>
      </items>
    </pivotField>
    <pivotField showAll="0"/>
    <pivotField axis="axisRow" showAll="0">
      <items count="5">
        <item x="3"/>
        <item x="2"/>
        <item x="1"/>
        <item x="0"/>
        <item t="default"/>
      </items>
    </pivotField>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
  </rowFields>
  <rowItems count="5">
    <i>
      <x/>
    </i>
    <i>
      <x v="1"/>
    </i>
    <i>
      <x v="2"/>
    </i>
    <i>
      <x v="3"/>
    </i>
    <i t="grand">
      <x/>
    </i>
  </rowItems>
  <colItems count="1">
    <i/>
  </colItems>
  <pageFields count="1">
    <pageField fld="0" hier="-1"/>
  </pageFields>
  <dataFields count="1">
    <dataField name="Sum of Sale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4221759-C6AB-4D66-A5B1-347BCEEF970D}" name="PivotTable6" cacheId="1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B24:G26" firstHeaderRow="0" firstDataRow="1" firstDataCol="1" rowPageCount="1" colPageCount="1"/>
  <pivotFields count="32">
    <pivotField axis="axisPage" multipleItemSelectionAllowed="1" showAll="0">
      <items count="5">
        <item h="1" x="3"/>
        <item h="1" x="2"/>
        <item h="1" x="1"/>
        <item x="0"/>
        <item t="default"/>
      </items>
    </pivotField>
    <pivotField axis="axisRow" showAll="0">
      <items count="13">
        <item x="0"/>
        <item x="1"/>
        <item x="2"/>
        <item x="3"/>
        <item x="4"/>
        <item x="5"/>
        <item x="6"/>
        <item x="7"/>
        <item x="8"/>
        <item x="9"/>
        <item x="10"/>
        <item x="11"/>
        <item t="default"/>
      </items>
    </pivotField>
    <pivotField showAll="0">
      <items count="13">
        <item h="1" x="0"/>
        <item h="1" x="1"/>
        <item h="1" x="2"/>
        <item h="1" x="3"/>
        <item h="1" x="4"/>
        <item h="1" x="5"/>
        <item h="1" x="6"/>
        <item h="1" x="7"/>
        <item h="1" x="8"/>
        <item h="1" x="9"/>
        <item h="1" x="10"/>
        <item x="11"/>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2">
    <i>
      <x v="11"/>
    </i>
    <i t="grand">
      <x/>
    </i>
  </rowItems>
  <colFields count="1">
    <field x="-2"/>
  </colFields>
  <colItems count="5">
    <i>
      <x/>
    </i>
    <i i="1">
      <x v="1"/>
    </i>
    <i i="2">
      <x v="2"/>
    </i>
    <i i="3">
      <x v="3"/>
    </i>
    <i i="4">
      <x v="4"/>
    </i>
  </colItems>
  <pageFields count="1">
    <pageField fld="0" hier="-1"/>
  </pageFields>
  <dataFields count="5">
    <dataField name=" New Clients" fld="4" baseField="0" baseItem="0"/>
    <dataField name="Average of Regular Clients" fld="5" subtotal="average" baseField="1" baseItem="0"/>
    <dataField name=" Sales" fld="7" baseField="0" baseItem="0"/>
    <dataField name="  Cost" fld="8" baseField="0" baseItem="0"/>
    <dataField name=" Avg Check" fld="6" baseField="0" baseItem="0"/>
  </dataFields>
  <formats count="4">
    <format dxfId="13">
      <pivotArea dataOnly="0" outline="0" fieldPosition="0">
        <references count="1">
          <reference field="4294967294" count="1">
            <x v="0"/>
          </reference>
        </references>
      </pivotArea>
    </format>
    <format dxfId="12">
      <pivotArea collapsedLevelsAreSubtotals="1" fieldPosition="0">
        <references count="2">
          <reference field="4294967294" count="1" selected="0">
            <x v="1"/>
          </reference>
          <reference field="1" count="0"/>
        </references>
      </pivotArea>
    </format>
    <format dxfId="11">
      <pivotArea collapsedLevelsAreSubtotals="1" fieldPosition="0">
        <references count="2">
          <reference field="4294967294" count="1" selected="0">
            <x v="1"/>
          </reference>
          <reference field="1" count="2">
            <x v="10"/>
            <x v="11"/>
          </reference>
        </references>
      </pivotArea>
    </format>
    <format dxfId="10">
      <pivotArea field="1" grandRow="1" outline="0" collapsedLevelsAreSubtotals="1" axis="axisRow"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77B48EF-C2EE-4AE7-A4BB-FA450B2D898C}" name="PivotTable10" cacheId="1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I6:AJ8" firstHeaderRow="1" firstDataRow="1" firstDataCol="1"/>
  <pivotFields count="32">
    <pivotField axis="axisRow" multipleItemSelectionAllowed="1" showAll="0">
      <items count="5">
        <item h="1" x="3"/>
        <item h="1" x="2"/>
        <item x="1"/>
        <item h="1" x="0"/>
        <item t="default"/>
      </items>
    </pivotField>
    <pivotField showAll="0">
      <items count="13">
        <item x="0"/>
        <item x="1"/>
        <item x="2"/>
        <item x="3"/>
        <item x="4"/>
        <item x="5"/>
        <item x="6"/>
        <item x="7"/>
        <item x="8"/>
        <item x="9"/>
        <item x="10"/>
        <item x="11"/>
        <item t="default"/>
      </items>
    </pivotField>
    <pivotField showAll="0"/>
    <pivotField showAll="0">
      <items count="5">
        <item x="3"/>
        <item x="2"/>
        <item x="1"/>
        <item x="0"/>
        <item t="default"/>
      </items>
    </pivotField>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2">
    <i>
      <x v="2"/>
    </i>
    <i t="grand">
      <x/>
    </i>
  </rowItems>
  <colItems count="1">
    <i/>
  </colItems>
  <dataFields count="1">
    <dataField name="Sum of Sale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B9827B2-3E2F-4BC4-B1DA-4110249FD5FE}" name="PivotTable9" cacheId="1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F6:AG11" firstHeaderRow="1" firstDataRow="1" firstDataCol="1"/>
  <pivotFields count="32">
    <pivotField axis="axisRow" multipleItemSelectionAllowed="1" showAll="0">
      <items count="5">
        <item x="3"/>
        <item x="2"/>
        <item x="1"/>
        <item x="0"/>
        <item t="default"/>
      </items>
    </pivotField>
    <pivotField showAll="0">
      <items count="13">
        <item x="0"/>
        <item x="1"/>
        <item x="2"/>
        <item x="3"/>
        <item x="4"/>
        <item x="5"/>
        <item x="6"/>
        <item x="7"/>
        <item x="8"/>
        <item x="9"/>
        <item x="10"/>
        <item x="11"/>
        <item t="default"/>
      </items>
    </pivotField>
    <pivotField showAll="0"/>
    <pivotField showAll="0">
      <items count="5">
        <item x="3"/>
        <item x="2"/>
        <item x="1"/>
        <item x="0"/>
        <item t="default"/>
      </items>
    </pivotField>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5">
    <i>
      <x/>
    </i>
    <i>
      <x v="1"/>
    </i>
    <i>
      <x v="2"/>
    </i>
    <i>
      <x v="3"/>
    </i>
    <i t="grand">
      <x/>
    </i>
  </rowItems>
  <colItems count="1">
    <i/>
  </colItems>
  <dataFields count="1">
    <dataField name="Sum of Sale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_Month" xr10:uid="{C2F9295E-4E4B-4131-8AAD-6CD68527EFC1}" sourceName="Name Month">
  <pivotTables>
    <pivotTable tabId="6" name="PivotTable6"/>
  </pivotTables>
  <data>
    <tabular pivotCacheId="936883566">
      <items count="12">
        <i x="0"/>
        <i x="1"/>
        <i x="2"/>
        <i x="3"/>
        <i x="4"/>
        <i x="5"/>
        <i x="6"/>
        <i x="7"/>
        <i x="8"/>
        <i x="9"/>
        <i x="10"/>
        <i x="1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66C868F-6077-43ED-A826-DBBB1D0CE620}" sourceName="Year">
  <pivotTables>
    <pivotTable tabId="6" name="PivotTable10"/>
  </pivotTables>
  <data>
    <tabular pivotCacheId="936883566">
      <items count="4">
        <i x="3"/>
        <i x="2"/>
        <i x="1" s="1"/>
        <i x="0"/>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usiness_Units" xr10:uid="{6D98DF85-CC39-42C0-A07A-06C424ED1A5A}" sourceName="Business Units">
  <pivotTables>
    <pivotTable tabId="6" name="PivotTable1"/>
  </pivotTables>
  <data>
    <tabular pivotCacheId="936883566">
      <items count="4">
        <i x="3" s="1"/>
        <i x="2" s="1"/>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_Month1" xr10:uid="{4915CA19-E39F-4155-9B9C-9729F003E439}" sourceName="Name Month">
  <data>
    <tabular pivotCacheId="28207894">
      <items count="12">
        <i x="0"/>
        <i x="1"/>
        <i x="2" s="1"/>
        <i x="3"/>
        <i x="4"/>
        <i x="5"/>
        <i x="6"/>
        <i x="7"/>
        <i x="8"/>
        <i x="9"/>
        <i x="10"/>
        <i x="1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ame Month 1" xr10:uid="{968E6F95-523B-4474-9DDC-ABAFCAAB8C47}" cache="Slicer_Name_Month" caption="Name Month" columnCount="12" showCaption="0" style="black slicer" rowHeight="247650"/>
  <slicer name="Year 1" xr10:uid="{697A4D4F-1133-4A5A-A59D-9082969A1ED2}" cache="Slicer_Year" caption="Year" columnCount="4" showCaption="0" style="black slicer" rowHeight="247650"/>
  <slicer name="Business Units 1" xr10:uid="{5DF87877-CCAA-4406-874B-81ABAF8AF747}" cache="Slicer_Business_Units" caption="Business Units" style="black slicer" rowHeight="247650"/>
  <slicer name="Name Month 2" xr10:uid="{BFFC329A-462E-4074-853C-D0AED71895D1}" cache="Slicer_Name_Month1" caption="Name Month" columnCount="12" showCaption="0" style="black slicer"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D8EFDF-E07D-4DFE-9360-C523E6798185}" name="Table1" displayName="Table1" ref="A1:AF193" totalsRowShown="0">
  <autoFilter ref="A1:AF193" xr:uid="{B2D8EFDF-E07D-4DFE-9360-C523E6798185}"/>
  <tableColumns count="32">
    <tableColumn id="1" xr3:uid="{44943DFE-0C74-42D0-B895-126ED7EBC5E8}" name="Year"/>
    <tableColumn id="2" xr3:uid="{C1689428-977C-4C3C-A15C-B9B039AAC351}" name="Month"/>
    <tableColumn id="3" xr3:uid="{45B27EEB-626A-4FB3-8900-1692D7624FAC}" name="Name Month"/>
    <tableColumn id="4" xr3:uid="{8BF12816-FDA8-4FC4-9703-C5543DC23B8C}" name="Business Units"/>
    <tableColumn id="5" xr3:uid="{B437A9EC-BE32-4A3E-9952-B6AA4FB74724}" name="New Clients"/>
    <tableColumn id="6" xr3:uid="{90F059B6-1DDE-439E-90C7-BD7898599FDA}" name="Regular Clients"/>
    <tableColumn id="33" xr3:uid="{1F024CC0-5F7F-47AE-830A-A3AF77A775DD}" name="Average Check" dataDxfId="8">
      <calculatedColumnFormula>H2/E2</calculatedColumnFormula>
    </tableColumn>
    <tableColumn id="7" xr3:uid="{283532FE-1853-4447-9559-A96CFBBEFE9C}" name="Sales"/>
    <tableColumn id="8" xr3:uid="{22A646F8-9176-4605-BAB6-2C27C1690BA2}" name="Cost"/>
    <tableColumn id="9" xr3:uid="{A85719A0-C0CF-4C51-90DC-B6469E7C10CF}" name="Storage-I"/>
    <tableColumn id="10" xr3:uid="{8F975C98-82ED-4FB5-ADD6-3FD264CCE6A4}" name="Handling-I"/>
    <tableColumn id="11" xr3:uid="{F962A921-0C95-442A-B372-6AB00A6430DB}" name="Packaging-I"/>
    <tableColumn id="12" xr3:uid="{BA4CF8EE-5C67-4DAD-B1F3-6F1D6EE89D0F}" name="Automation-I"/>
    <tableColumn id="13" xr3:uid="{FF696E19-EFF5-4CBB-81E1-A83ECC3AAA96}" name="Accessories-I"/>
    <tableColumn id="14" xr3:uid="{E79C4623-FD78-472E-9647-3728F1201DFB}" name="Containers-I"/>
    <tableColumn id="15" xr3:uid="{8359E3A5-46B5-4E72-AF9A-8685BD5D0070}" name="Storage-S"/>
    <tableColumn id="16" xr3:uid="{7426E3F1-AB4A-4038-ABDA-491B241672FC}" name="Handling-S"/>
    <tableColumn id="17" xr3:uid="{C8B2585D-4796-45FA-9719-1FBCFDC8A2B1}" name="Packaging-S"/>
    <tableColumn id="18" xr3:uid="{8430CB1F-2077-4F63-9C4F-CC72A0BA0244}" name="Automation-S"/>
    <tableColumn id="19" xr3:uid="{2B475681-AC98-482D-BFD4-3A36A9B4078D}" name="Accessories-S"/>
    <tableColumn id="20" xr3:uid="{51984352-9F5A-461A-8A12-5AA5CDEC1390}" name="Containers-S"/>
    <tableColumn id="21" xr3:uid="{625CF9EC-8CDF-4A2C-8B8F-521B501F74C8}" name="Quality Score"/>
    <tableColumn id="22" xr3:uid="{E3AACB67-7F70-4326-AC2B-68056B32C2CB}" name="Racking"/>
    <tableColumn id="23" xr3:uid="{DBC206BC-E984-41A0-B2F5-F76AF5AA62DD}" name="Shelving"/>
    <tableColumn id="24" xr3:uid="{9C521A4C-DEC1-439B-91E0-66524D43DAF7}" name="Forklifts"/>
    <tableColumn id="25" xr3:uid="{7E44739C-1330-49B5-9B53-085BDE3E5E10}" name="Conveyors"/>
    <tableColumn id="26" xr3:uid="{32A1993E-DA3A-4D73-BFCC-BC8E022849E7}" name="Packaging2"/>
    <tableColumn id="27" xr3:uid="{887AA5B2-0E55-49C3-869A-7EFC811563D0}" name="Scanners"/>
    <tableColumn id="28" xr3:uid="{21E8E982-6B05-48E3-A80E-78EA9A2B4BA3}" name="Pallets"/>
    <tableColumn id="29" xr3:uid="{2C71B4C5-3600-4397-97B2-35FD218F8F65}" name="Crates"/>
    <tableColumn id="30" xr3:uid="{F6D61429-3D36-422A-8F60-F8860D811620}" name="Docking"/>
    <tableColumn id="31" xr3:uid="{8A2DCFA2-D051-4092-A46A-16ADACC2A4C5}" name="Containers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1486B-C770-4A67-B163-8B49CE041C54}">
  <dimension ref="B2:AZ33"/>
  <sheetViews>
    <sheetView zoomScale="66" zoomScaleNormal="66" workbookViewId="0">
      <selection activeCell="T17" sqref="T17"/>
    </sheetView>
  </sheetViews>
  <sheetFormatPr defaultRowHeight="14.4" x14ac:dyDescent="0.3"/>
  <cols>
    <col min="1" max="1" width="3.5546875" customWidth="1"/>
    <col min="2" max="2" width="6" customWidth="1"/>
    <col min="3" max="3" width="9.5546875" customWidth="1"/>
    <col min="4" max="5" width="9.77734375" customWidth="1"/>
    <col min="6" max="6" width="8.5546875" customWidth="1"/>
    <col min="7" max="7" width="5" customWidth="1"/>
    <col min="8" max="8" width="6.109375" customWidth="1"/>
    <col min="9" max="9" width="9.109375" customWidth="1"/>
    <col min="10" max="10" width="6.5546875" customWidth="1"/>
    <col min="11" max="11" width="6.109375" customWidth="1"/>
    <col min="12" max="12" width="7.21875" customWidth="1"/>
    <col min="13" max="13" width="1.44140625" customWidth="1"/>
    <col min="14" max="14" width="9" customWidth="1"/>
    <col min="15" max="17" width="6.6640625" customWidth="1"/>
    <col min="18" max="18" width="2.5546875" customWidth="1"/>
    <col min="19" max="19" width="16.109375" customWidth="1"/>
    <col min="20" max="20" width="12.77734375" customWidth="1"/>
    <col min="22" max="23" width="12.77734375" customWidth="1"/>
    <col min="24" max="24" width="12.6640625" bestFit="1" customWidth="1"/>
    <col min="25" max="25" width="8.109375" customWidth="1"/>
    <col min="31" max="31" width="2.77734375" customWidth="1"/>
    <col min="33" max="33" width="10.109375" bestFit="1" customWidth="1"/>
    <col min="40" max="40" width="2.5546875" customWidth="1"/>
    <col min="41" max="43" width="10" customWidth="1"/>
    <col min="44" max="45" width="7.5546875" customWidth="1"/>
    <col min="46" max="52" width="9.88671875" customWidth="1"/>
  </cols>
  <sheetData>
    <row r="2" spans="2:52" x14ac:dyDescent="0.3">
      <c r="B2" s="26" t="s">
        <v>56</v>
      </c>
      <c r="C2" s="26"/>
      <c r="D2" s="26"/>
      <c r="N2" s="26" t="s">
        <v>71</v>
      </c>
      <c r="O2" s="26"/>
      <c r="P2" s="26"/>
      <c r="S2" s="26" t="s">
        <v>75</v>
      </c>
      <c r="T2" s="26"/>
      <c r="U2" s="26"/>
      <c r="Z2" s="26" t="s">
        <v>79</v>
      </c>
      <c r="AA2" s="26"/>
      <c r="AB2" s="26"/>
      <c r="AF2" s="26" t="s">
        <v>85</v>
      </c>
      <c r="AG2" s="26"/>
      <c r="AH2" s="26"/>
      <c r="AO2" s="26" t="s">
        <v>90</v>
      </c>
      <c r="AP2" s="26"/>
      <c r="AQ2" s="26"/>
    </row>
    <row r="4" spans="2:52" x14ac:dyDescent="0.3">
      <c r="B4" s="1" t="s">
        <v>0</v>
      </c>
      <c r="C4" s="2">
        <v>2026</v>
      </c>
      <c r="N4" s="9" t="s">
        <v>71</v>
      </c>
      <c r="O4" s="5"/>
      <c r="P4" s="5" t="s">
        <v>73</v>
      </c>
      <c r="Q4" s="5" t="s">
        <v>74</v>
      </c>
      <c r="S4" s="1" t="s">
        <v>0</v>
      </c>
      <c r="T4" s="2">
        <v>2026</v>
      </c>
      <c r="V4" s="1" t="s">
        <v>0</v>
      </c>
      <c r="W4" s="2">
        <v>2026</v>
      </c>
      <c r="Z4" s="7" t="s">
        <v>80</v>
      </c>
      <c r="AA4" s="7" t="s">
        <v>81</v>
      </c>
      <c r="AB4" s="7" t="s">
        <v>82</v>
      </c>
      <c r="AC4" s="7" t="s">
        <v>83</v>
      </c>
      <c r="AD4" s="7" t="s">
        <v>84</v>
      </c>
      <c r="AO4" s="1" t="s">
        <v>0</v>
      </c>
      <c r="AP4" s="2">
        <v>2026</v>
      </c>
    </row>
    <row r="5" spans="2:52" x14ac:dyDescent="0.3">
      <c r="N5" s="10">
        <f>GETPIVOTDATA("Average of Regular Clients",$B$24)</f>
        <v>0.45499999999999996</v>
      </c>
      <c r="O5" s="10">
        <f>100%-N5</f>
        <v>0.54500000000000004</v>
      </c>
      <c r="P5" s="11">
        <f>SIN(N6*2*PI())</f>
        <v>-0.23853345757858088</v>
      </c>
      <c r="Q5" s="11">
        <f>COS(N6*2*PI())</f>
        <v>-0.97113427990963608</v>
      </c>
      <c r="Z5" s="5">
        <f>GETPIVOTDATA("Sum of Sales",$B$6,"Month",B7)</f>
        <v>350</v>
      </c>
      <c r="AA5" s="5">
        <v>350</v>
      </c>
      <c r="AB5" s="5">
        <f>GETPIVOTDATA("Sum of Cost",$B$6,"Month",B7)</f>
        <v>100.7</v>
      </c>
      <c r="AC5" s="5">
        <v>350</v>
      </c>
      <c r="AD5" s="5">
        <f>AA5</f>
        <v>350</v>
      </c>
    </row>
    <row r="6" spans="2:52" x14ac:dyDescent="0.3">
      <c r="B6" s="1" t="s">
        <v>47</v>
      </c>
      <c r="C6" s="3" t="s">
        <v>52</v>
      </c>
      <c r="D6" s="3" t="s">
        <v>49</v>
      </c>
      <c r="E6" s="3" t="s">
        <v>50</v>
      </c>
      <c r="F6" s="3" t="s">
        <v>55</v>
      </c>
      <c r="H6" s="6" t="s">
        <v>57</v>
      </c>
      <c r="I6" s="6" t="s">
        <v>115</v>
      </c>
      <c r="J6" s="7" t="s">
        <v>114</v>
      </c>
      <c r="K6" s="6" t="s">
        <v>113</v>
      </c>
      <c r="L6" s="6" t="s">
        <v>58</v>
      </c>
      <c r="N6" s="10">
        <f>N5+100%/12</f>
        <v>0.53833333333333333</v>
      </c>
      <c r="O6" s="10">
        <f>100%-N6</f>
        <v>0.46166666666666667</v>
      </c>
      <c r="P6" s="5"/>
      <c r="Q6" s="5"/>
      <c r="S6" s="1" t="s">
        <v>47</v>
      </c>
      <c r="T6" t="s">
        <v>49</v>
      </c>
      <c r="V6" s="1" t="s">
        <v>47</v>
      </c>
      <c r="W6" t="s">
        <v>49</v>
      </c>
      <c r="Z6" s="5">
        <f t="shared" ref="Z6:Z16" si="0">GETPIVOTDATA("Sum of Sales",$B$6,"Month",B8)</f>
        <v>225</v>
      </c>
      <c r="AA6" s="5">
        <v>225</v>
      </c>
      <c r="AB6" s="5">
        <f t="shared" ref="AB6:AB16" si="1">GETPIVOTDATA("Sum of Cost",$B$6,"Month",B8)</f>
        <v>150.14999999999998</v>
      </c>
      <c r="AC6" s="5">
        <v>225</v>
      </c>
      <c r="AD6" s="5">
        <f t="shared" ref="AD6:AD16" si="2">AA6</f>
        <v>225</v>
      </c>
      <c r="AF6" s="1" t="s">
        <v>47</v>
      </c>
      <c r="AG6" t="s">
        <v>49</v>
      </c>
      <c r="AI6" s="1" t="s">
        <v>47</v>
      </c>
      <c r="AJ6" t="s">
        <v>49</v>
      </c>
      <c r="AO6" t="s">
        <v>91</v>
      </c>
      <c r="AP6" t="s">
        <v>92</v>
      </c>
      <c r="AQ6" t="s">
        <v>93</v>
      </c>
      <c r="AR6" t="s">
        <v>94</v>
      </c>
      <c r="AS6" t="s">
        <v>95</v>
      </c>
      <c r="AT6" t="s">
        <v>96</v>
      </c>
      <c r="AU6" t="s">
        <v>97</v>
      </c>
      <c r="AV6" t="s">
        <v>98</v>
      </c>
      <c r="AW6" t="s">
        <v>99</v>
      </c>
      <c r="AX6" t="s">
        <v>100</v>
      </c>
      <c r="AY6" t="s">
        <v>101</v>
      </c>
      <c r="AZ6" t="s">
        <v>102</v>
      </c>
    </row>
    <row r="7" spans="2:52" x14ac:dyDescent="0.3">
      <c r="B7" s="2">
        <v>1</v>
      </c>
      <c r="C7" s="3">
        <v>280</v>
      </c>
      <c r="D7" s="3">
        <v>350</v>
      </c>
      <c r="E7" s="3">
        <v>100.7</v>
      </c>
      <c r="F7" s="3">
        <v>5</v>
      </c>
      <c r="H7" s="4">
        <v>1</v>
      </c>
      <c r="I7" s="5" t="s">
        <v>59</v>
      </c>
      <c r="J7" s="5">
        <f>GETPIVOTDATA(" New Clients",$B$6,"Month",B7)</f>
        <v>280</v>
      </c>
      <c r="K7" s="5" t="e">
        <f>IFERROR(GETPIVOTDATA(" New Clients",$B$24,"Month",H7),NA())</f>
        <v>#N/A</v>
      </c>
      <c r="L7" s="5" t="e">
        <f>IF(ISNA(K7),K7,J7)</f>
        <v>#N/A</v>
      </c>
      <c r="S7" s="2" t="s">
        <v>36</v>
      </c>
      <c r="T7">
        <v>695</v>
      </c>
      <c r="V7" s="2" t="s">
        <v>36</v>
      </c>
      <c r="W7" s="28">
        <v>695</v>
      </c>
      <c r="Z7" s="5">
        <f t="shared" si="0"/>
        <v>220</v>
      </c>
      <c r="AA7" s="5">
        <v>220</v>
      </c>
      <c r="AB7" s="5">
        <f t="shared" si="1"/>
        <v>125.99999999999999</v>
      </c>
      <c r="AC7" s="5">
        <v>220</v>
      </c>
      <c r="AD7" s="5">
        <f t="shared" si="2"/>
        <v>220</v>
      </c>
      <c r="AF7" s="2">
        <v>2023</v>
      </c>
      <c r="AG7">
        <v>2362</v>
      </c>
      <c r="AI7" s="2">
        <v>2025</v>
      </c>
      <c r="AJ7" s="28">
        <v>4472.5</v>
      </c>
      <c r="AO7">
        <v>2763</v>
      </c>
      <c r="AP7">
        <v>3786</v>
      </c>
      <c r="AQ7">
        <v>3490</v>
      </c>
      <c r="AR7">
        <v>5067</v>
      </c>
      <c r="AS7">
        <v>3536</v>
      </c>
      <c r="AT7">
        <v>4128</v>
      </c>
      <c r="AU7">
        <v>4389</v>
      </c>
      <c r="AV7">
        <v>4408</v>
      </c>
      <c r="AW7">
        <v>4549</v>
      </c>
      <c r="AX7">
        <v>3547</v>
      </c>
      <c r="AY7">
        <v>2444</v>
      </c>
      <c r="AZ7">
        <v>3308</v>
      </c>
    </row>
    <row r="8" spans="2:52" x14ac:dyDescent="0.3">
      <c r="B8" s="2">
        <v>2</v>
      </c>
      <c r="C8" s="3">
        <v>143</v>
      </c>
      <c r="D8" s="3">
        <v>225</v>
      </c>
      <c r="E8" s="3">
        <v>150.14999999999998</v>
      </c>
      <c r="F8" s="3">
        <v>6.7129629629629628</v>
      </c>
      <c r="H8" s="4">
        <v>2</v>
      </c>
      <c r="I8" s="5" t="s">
        <v>60</v>
      </c>
      <c r="J8" s="5">
        <f t="shared" ref="J8:J18" si="3">GETPIVOTDATA(" New Clients",$B$6,"Month",B8)</f>
        <v>143</v>
      </c>
      <c r="K8" s="5" t="e">
        <f t="shared" ref="K8:K18" si="4">IFERROR(GETPIVOTDATA(" New Clients",$B$24,"Month",H8),NA())</f>
        <v>#N/A</v>
      </c>
      <c r="L8" s="5" t="e">
        <f t="shared" ref="L8:L18" si="5">IF(ISNA(K8),K8,J8)</f>
        <v>#N/A</v>
      </c>
      <c r="S8" s="2" t="s">
        <v>34</v>
      </c>
      <c r="T8">
        <v>1347.5</v>
      </c>
      <c r="V8" s="2" t="s">
        <v>34</v>
      </c>
      <c r="W8" s="28">
        <v>1347.5</v>
      </c>
      <c r="Z8" s="5">
        <f t="shared" si="0"/>
        <v>325</v>
      </c>
      <c r="AA8" s="5">
        <v>325</v>
      </c>
      <c r="AB8" s="5">
        <f t="shared" si="1"/>
        <v>162.75</v>
      </c>
      <c r="AC8" s="5">
        <v>325</v>
      </c>
      <c r="AD8" s="5">
        <f t="shared" si="2"/>
        <v>325</v>
      </c>
      <c r="AF8" s="2">
        <v>2024</v>
      </c>
      <c r="AG8">
        <v>4242</v>
      </c>
      <c r="AI8" s="2" t="s">
        <v>48</v>
      </c>
      <c r="AJ8" s="28">
        <v>4472.5</v>
      </c>
    </row>
    <row r="9" spans="2:52" x14ac:dyDescent="0.3">
      <c r="B9" s="2">
        <v>3</v>
      </c>
      <c r="C9" s="3">
        <v>176</v>
      </c>
      <c r="D9" s="3">
        <v>220</v>
      </c>
      <c r="E9" s="3">
        <v>125.99999999999999</v>
      </c>
      <c r="F9" s="3">
        <v>5</v>
      </c>
      <c r="H9" s="4">
        <v>3</v>
      </c>
      <c r="I9" s="5" t="s">
        <v>61</v>
      </c>
      <c r="J9" s="5">
        <f t="shared" si="3"/>
        <v>176</v>
      </c>
      <c r="K9" s="5" t="e">
        <f t="shared" si="4"/>
        <v>#N/A</v>
      </c>
      <c r="L9" s="5" t="e">
        <f t="shared" si="5"/>
        <v>#N/A</v>
      </c>
      <c r="S9" s="2" t="s">
        <v>33</v>
      </c>
      <c r="T9">
        <v>576.25</v>
      </c>
      <c r="V9" s="2" t="s">
        <v>33</v>
      </c>
      <c r="W9" s="28">
        <v>576.25</v>
      </c>
      <c r="Z9" s="5">
        <f t="shared" si="0"/>
        <v>240</v>
      </c>
      <c r="AA9" s="5">
        <v>240</v>
      </c>
      <c r="AB9" s="5">
        <f t="shared" si="1"/>
        <v>160.65</v>
      </c>
      <c r="AC9" s="5" t="e">
        <f t="shared" ref="AC9" si="6">IF(ISNA(K11),K11,AA9)</f>
        <v>#N/A</v>
      </c>
      <c r="AD9" s="5">
        <f t="shared" si="2"/>
        <v>240</v>
      </c>
      <c r="AF9" s="2">
        <v>2025</v>
      </c>
      <c r="AG9">
        <v>4472.5</v>
      </c>
    </row>
    <row r="10" spans="2:52" x14ac:dyDescent="0.3">
      <c r="B10" s="2">
        <v>4</v>
      </c>
      <c r="C10" s="3">
        <v>260</v>
      </c>
      <c r="D10" s="3">
        <v>325</v>
      </c>
      <c r="E10" s="3">
        <v>162.75</v>
      </c>
      <c r="F10" s="3">
        <v>5</v>
      </c>
      <c r="H10" s="4">
        <v>4</v>
      </c>
      <c r="I10" s="5" t="s">
        <v>62</v>
      </c>
      <c r="J10" s="5">
        <f t="shared" si="3"/>
        <v>260</v>
      </c>
      <c r="K10" s="5" t="e">
        <f t="shared" si="4"/>
        <v>#N/A</v>
      </c>
      <c r="L10" s="5" t="e">
        <f t="shared" si="5"/>
        <v>#N/A</v>
      </c>
      <c r="S10" s="2" t="s">
        <v>32</v>
      </c>
      <c r="T10">
        <v>1191.25</v>
      </c>
      <c r="V10" s="2" t="s">
        <v>32</v>
      </c>
      <c r="W10" s="28">
        <v>1191.25</v>
      </c>
      <c r="Z10" s="5">
        <f t="shared" si="0"/>
        <v>295</v>
      </c>
      <c r="AA10" s="5">
        <v>295</v>
      </c>
      <c r="AB10" s="5">
        <f t="shared" si="1"/>
        <v>100.79999999999998</v>
      </c>
      <c r="AC10" s="5">
        <v>295</v>
      </c>
      <c r="AD10" s="5">
        <f t="shared" si="2"/>
        <v>295</v>
      </c>
      <c r="AF10" s="2">
        <v>2026</v>
      </c>
      <c r="AG10">
        <v>3810</v>
      </c>
    </row>
    <row r="11" spans="2:52" x14ac:dyDescent="0.3">
      <c r="B11" s="2">
        <v>5</v>
      </c>
      <c r="C11" s="3">
        <v>192</v>
      </c>
      <c r="D11" s="3">
        <v>240</v>
      </c>
      <c r="E11" s="3">
        <v>160.65</v>
      </c>
      <c r="F11" s="3">
        <v>5</v>
      </c>
      <c r="H11" s="4">
        <v>5</v>
      </c>
      <c r="I11" s="5" t="s">
        <v>63</v>
      </c>
      <c r="J11" s="5">
        <f t="shared" si="3"/>
        <v>192</v>
      </c>
      <c r="K11" s="5" t="e">
        <f t="shared" si="4"/>
        <v>#N/A</v>
      </c>
      <c r="L11" s="5" t="e">
        <f t="shared" si="5"/>
        <v>#N/A</v>
      </c>
      <c r="S11" s="2" t="s">
        <v>48</v>
      </c>
      <c r="T11">
        <v>3810</v>
      </c>
      <c r="V11" s="2" t="s">
        <v>48</v>
      </c>
      <c r="W11" s="28">
        <v>3810</v>
      </c>
      <c r="Z11" s="5">
        <f t="shared" si="0"/>
        <v>425</v>
      </c>
      <c r="AA11" s="5">
        <v>425</v>
      </c>
      <c r="AB11" s="5">
        <f t="shared" si="1"/>
        <v>171.15</v>
      </c>
      <c r="AC11" s="5">
        <v>425</v>
      </c>
      <c r="AD11" s="5">
        <f t="shared" si="2"/>
        <v>425</v>
      </c>
      <c r="AF11" s="2" t="s">
        <v>48</v>
      </c>
      <c r="AG11">
        <v>14886.5</v>
      </c>
      <c r="AO11" s="21" t="s">
        <v>103</v>
      </c>
      <c r="AP11" s="21" t="s">
        <v>104</v>
      </c>
      <c r="AQ11" s="21" t="s">
        <v>105</v>
      </c>
    </row>
    <row r="12" spans="2:52" x14ac:dyDescent="0.3">
      <c r="B12" s="2">
        <v>6</v>
      </c>
      <c r="C12" s="3">
        <v>236</v>
      </c>
      <c r="D12" s="3">
        <v>295</v>
      </c>
      <c r="E12" s="3">
        <v>100.79999999999998</v>
      </c>
      <c r="F12" s="3">
        <v>5</v>
      </c>
      <c r="H12" s="4">
        <v>6</v>
      </c>
      <c r="I12" s="5" t="s">
        <v>64</v>
      </c>
      <c r="J12" s="5">
        <f t="shared" si="3"/>
        <v>236</v>
      </c>
      <c r="K12" s="5" t="e">
        <f t="shared" si="4"/>
        <v>#N/A</v>
      </c>
      <c r="L12" s="5" t="e">
        <f t="shared" si="5"/>
        <v>#N/A</v>
      </c>
      <c r="Z12" s="5">
        <f t="shared" si="0"/>
        <v>440</v>
      </c>
      <c r="AA12" s="5">
        <v>440</v>
      </c>
      <c r="AB12" s="5">
        <f t="shared" si="1"/>
        <v>164.84999999999997</v>
      </c>
      <c r="AC12" s="5">
        <v>440</v>
      </c>
      <c r="AD12" s="5">
        <f t="shared" si="2"/>
        <v>440</v>
      </c>
      <c r="AO12" s="23" t="s">
        <v>91</v>
      </c>
      <c r="AP12" s="5">
        <f>GETPIVOTDATA("Sum of Storage-I",$AO$6)</f>
        <v>2763</v>
      </c>
      <c r="AQ12" s="5">
        <f>GETPIVOTDATA("Sum of Storage-S",$AO$6)</f>
        <v>4389</v>
      </c>
    </row>
    <row r="13" spans="2:52" x14ac:dyDescent="0.3">
      <c r="B13" s="2">
        <v>7</v>
      </c>
      <c r="C13" s="3">
        <v>408</v>
      </c>
      <c r="D13" s="3">
        <v>425</v>
      </c>
      <c r="E13" s="3">
        <v>171.15</v>
      </c>
      <c r="F13" s="3">
        <v>4.1666666666666661</v>
      </c>
      <c r="H13" s="4">
        <v>7</v>
      </c>
      <c r="I13" s="5" t="s">
        <v>65</v>
      </c>
      <c r="J13" s="5">
        <f t="shared" si="3"/>
        <v>408</v>
      </c>
      <c r="K13" s="5" t="e">
        <f t="shared" si="4"/>
        <v>#N/A</v>
      </c>
      <c r="L13" s="5" t="e">
        <f t="shared" si="5"/>
        <v>#N/A</v>
      </c>
      <c r="Z13" s="5">
        <f t="shared" si="0"/>
        <v>275</v>
      </c>
      <c r="AA13" s="5">
        <v>275</v>
      </c>
      <c r="AB13" s="5">
        <f t="shared" si="1"/>
        <v>177.45</v>
      </c>
      <c r="AC13" s="5">
        <v>275</v>
      </c>
      <c r="AD13" s="5">
        <f t="shared" si="2"/>
        <v>275</v>
      </c>
      <c r="AO13" s="22" t="s">
        <v>92</v>
      </c>
      <c r="AP13" s="5">
        <f>GETPIVOTDATA("Sum of Handling-I",$AO$6)</f>
        <v>3786</v>
      </c>
      <c r="AQ13" s="5">
        <f>GETPIVOTDATA("Sum of Handling-S",$AO$6)</f>
        <v>4408</v>
      </c>
    </row>
    <row r="14" spans="2:52" x14ac:dyDescent="0.3">
      <c r="B14" s="2">
        <v>8</v>
      </c>
      <c r="C14" s="3">
        <v>352</v>
      </c>
      <c r="D14" s="3">
        <v>440</v>
      </c>
      <c r="E14" s="3">
        <v>164.84999999999997</v>
      </c>
      <c r="F14" s="3">
        <v>5</v>
      </c>
      <c r="H14" s="4">
        <v>8</v>
      </c>
      <c r="I14" s="5" t="s">
        <v>66</v>
      </c>
      <c r="J14" s="5">
        <f t="shared" si="3"/>
        <v>352</v>
      </c>
      <c r="K14" s="5" t="e">
        <f t="shared" si="4"/>
        <v>#N/A</v>
      </c>
      <c r="L14" s="5" t="e">
        <f t="shared" si="5"/>
        <v>#N/A</v>
      </c>
      <c r="Z14" s="5">
        <f t="shared" si="0"/>
        <v>350</v>
      </c>
      <c r="AA14" s="5">
        <v>350</v>
      </c>
      <c r="AB14" s="5">
        <f t="shared" si="1"/>
        <v>151.19999999999999</v>
      </c>
      <c r="AC14" s="5">
        <v>350</v>
      </c>
      <c r="AD14" s="5">
        <f t="shared" si="2"/>
        <v>350</v>
      </c>
      <c r="AF14" s="5"/>
      <c r="AG14" s="5"/>
      <c r="AH14" s="5" cm="1">
        <f t="array" ref="AH14:AK14">TRANSPOSE(AF16:AF19)</f>
        <v>2023</v>
      </c>
      <c r="AI14" s="5">
        <v>2024</v>
      </c>
      <c r="AJ14" s="5">
        <v>2025</v>
      </c>
      <c r="AK14" s="5">
        <v>2026</v>
      </c>
      <c r="AL14" s="5" t="s">
        <v>88</v>
      </c>
      <c r="AM14" s="5" t="s">
        <v>89</v>
      </c>
      <c r="AO14" s="22" t="s">
        <v>93</v>
      </c>
      <c r="AP14" s="5">
        <f>GETPIVOTDATA("Sum of Packaging-I",$AO$6)</f>
        <v>3490</v>
      </c>
      <c r="AQ14" s="5">
        <f>GETPIVOTDATA("Sum of Packaging-S",$AO$6)</f>
        <v>4549</v>
      </c>
    </row>
    <row r="15" spans="2:52" x14ac:dyDescent="0.3">
      <c r="B15" s="2">
        <v>9</v>
      </c>
      <c r="C15" s="3">
        <v>220</v>
      </c>
      <c r="D15" s="3">
        <v>275</v>
      </c>
      <c r="E15" s="3">
        <v>177.45</v>
      </c>
      <c r="F15" s="3">
        <v>5</v>
      </c>
      <c r="H15" s="4">
        <v>9</v>
      </c>
      <c r="I15" s="5" t="s">
        <v>67</v>
      </c>
      <c r="J15" s="5">
        <f t="shared" si="3"/>
        <v>220</v>
      </c>
      <c r="K15" s="5" t="e">
        <f t="shared" si="4"/>
        <v>#N/A</v>
      </c>
      <c r="L15" s="5" t="e">
        <f t="shared" si="5"/>
        <v>#N/A</v>
      </c>
      <c r="S15" s="7" t="s">
        <v>116</v>
      </c>
      <c r="T15" s="7" t="s">
        <v>117</v>
      </c>
      <c r="U15" s="7" t="s">
        <v>76</v>
      </c>
      <c r="V15" s="7" t="s">
        <v>77</v>
      </c>
      <c r="W15" s="19" t="s">
        <v>73</v>
      </c>
      <c r="X15" s="19" t="s">
        <v>74</v>
      </c>
      <c r="Z15" s="5">
        <f t="shared" si="0"/>
        <v>290</v>
      </c>
      <c r="AA15" s="5">
        <v>290</v>
      </c>
      <c r="AB15" s="5">
        <f t="shared" si="1"/>
        <v>155.4</v>
      </c>
      <c r="AC15" s="5">
        <v>290</v>
      </c>
      <c r="AD15" s="5">
        <f t="shared" si="2"/>
        <v>290</v>
      </c>
      <c r="AF15" s="5" t="s">
        <v>86</v>
      </c>
      <c r="AG15" s="5" t="s">
        <v>87</v>
      </c>
      <c r="AH15" s="5">
        <f>IF(AND($AF15=AH$14,$AL15=0),$AG15,0)</f>
        <v>0</v>
      </c>
      <c r="AI15" s="5">
        <f>IF(AND($AF15=AI$14,$AL15=0),$AG15,0)</f>
        <v>0</v>
      </c>
      <c r="AJ15" s="5">
        <f>IF(AND($AF15=AJ$14,$AL15=0),$AG15,0)</f>
        <v>0</v>
      </c>
      <c r="AK15" s="5">
        <f>IF(AND($AF15=AK$14,$AL15=0),$AG15,0)</f>
        <v>0</v>
      </c>
      <c r="AL15" s="5">
        <f t="shared" ref="AL15:AL20" si="7">IFERROR(INDEX($AJ$7:$AJ$10,MATCH(AF15,$AI$7:$AI$10,0)),0)</f>
        <v>0</v>
      </c>
      <c r="AM15" s="5" t="e">
        <f t="shared" ref="AM15:AM20" si="8">IF(AL15=0,NA(),AL15)</f>
        <v>#N/A</v>
      </c>
      <c r="AO15" s="22" t="s">
        <v>94</v>
      </c>
      <c r="AP15" s="5">
        <f>GETPIVOTDATA("Sum of Automation-I",$AO$6)</f>
        <v>5067</v>
      </c>
      <c r="AQ15" s="5">
        <f>GETPIVOTDATA("Sum of Automation-S",$AO$6)</f>
        <v>3547</v>
      </c>
    </row>
    <row r="16" spans="2:52" x14ac:dyDescent="0.3">
      <c r="B16" s="2">
        <v>10</v>
      </c>
      <c r="C16" s="3">
        <v>280</v>
      </c>
      <c r="D16" s="3">
        <v>350</v>
      </c>
      <c r="E16" s="3">
        <v>151.19999999999999</v>
      </c>
      <c r="F16" s="3">
        <v>5</v>
      </c>
      <c r="H16" s="4">
        <v>10</v>
      </c>
      <c r="I16" s="5" t="s">
        <v>68</v>
      </c>
      <c r="J16" s="5">
        <f t="shared" si="3"/>
        <v>280</v>
      </c>
      <c r="K16" s="5" t="e">
        <f t="shared" si="4"/>
        <v>#N/A</v>
      </c>
      <c r="L16" s="5" t="e">
        <f t="shared" si="5"/>
        <v>#N/A</v>
      </c>
      <c r="S16" s="12" t="s">
        <v>36</v>
      </c>
      <c r="T16" s="10">
        <v>0.25</v>
      </c>
      <c r="U16" s="10">
        <v>0.25</v>
      </c>
      <c r="V16" s="13">
        <f>100%-U16</f>
        <v>0.75</v>
      </c>
      <c r="W16" s="14">
        <f>IF(T16=0,NA(),SIN(U16*2*PI()))</f>
        <v>1</v>
      </c>
      <c r="X16" s="14">
        <f>IF(T16=0,NA(),COS(V16*2*PI()))</f>
        <v>-1.83772268236293E-16</v>
      </c>
      <c r="Z16" s="5">
        <f t="shared" si="0"/>
        <v>375</v>
      </c>
      <c r="AA16" s="5">
        <v>375</v>
      </c>
      <c r="AB16" s="5">
        <f t="shared" si="1"/>
        <v>107.1</v>
      </c>
      <c r="AC16" s="5">
        <v>375</v>
      </c>
      <c r="AD16" s="5">
        <f t="shared" si="2"/>
        <v>375</v>
      </c>
      <c r="AF16" s="5">
        <f>AF7</f>
        <v>2023</v>
      </c>
      <c r="AG16" s="20">
        <f>GETPIVOTDATA("Sales",$AF$6,"Year",AF16)</f>
        <v>2362</v>
      </c>
      <c r="AH16" s="5">
        <f t="shared" ref="AH16:AK19" si="9">IF(AND($AF16=AH$14,$AL16=0),$AG16,0)</f>
        <v>2362</v>
      </c>
      <c r="AI16" s="5">
        <f t="shared" si="9"/>
        <v>0</v>
      </c>
      <c r="AJ16" s="5">
        <f t="shared" si="9"/>
        <v>0</v>
      </c>
      <c r="AK16" s="5">
        <f t="shared" si="9"/>
        <v>0</v>
      </c>
      <c r="AL16" s="5">
        <f t="shared" si="7"/>
        <v>0</v>
      </c>
      <c r="AM16" s="5" t="e">
        <f t="shared" si="8"/>
        <v>#N/A</v>
      </c>
      <c r="AO16" s="22" t="s">
        <v>95</v>
      </c>
      <c r="AP16" s="5">
        <f>GETPIVOTDATA("Sum of Accessories-I",$AO$6)</f>
        <v>3536</v>
      </c>
      <c r="AQ16" s="5">
        <f>GETPIVOTDATA("Sum of Accessories-S",$AO$6)</f>
        <v>2444</v>
      </c>
    </row>
    <row r="17" spans="2:43" x14ac:dyDescent="0.3">
      <c r="B17" s="2">
        <v>11</v>
      </c>
      <c r="C17" s="3">
        <v>232</v>
      </c>
      <c r="D17" s="3">
        <v>290</v>
      </c>
      <c r="E17" s="3">
        <v>155.4</v>
      </c>
      <c r="F17" s="3">
        <v>5</v>
      </c>
      <c r="H17" s="4">
        <v>11</v>
      </c>
      <c r="I17" s="5" t="s">
        <v>69</v>
      </c>
      <c r="J17" s="5">
        <f t="shared" si="3"/>
        <v>232</v>
      </c>
      <c r="K17" s="5" t="e">
        <f t="shared" si="4"/>
        <v>#N/A</v>
      </c>
      <c r="L17" s="5" t="e">
        <f t="shared" si="5"/>
        <v>#N/A</v>
      </c>
      <c r="S17" s="12" t="s">
        <v>34</v>
      </c>
      <c r="T17" s="10">
        <v>0.25</v>
      </c>
      <c r="U17" s="10">
        <v>0.5</v>
      </c>
      <c r="V17" s="13">
        <f>100%-U17</f>
        <v>0.5</v>
      </c>
      <c r="W17" s="14">
        <f>IF(T17=0,NA(),SIN(U17*2*PI()))</f>
        <v>1.22514845490862E-16</v>
      </c>
      <c r="X17" s="14">
        <f>IF(T17=0,NA(),COS(V17*2*PI()))</f>
        <v>-1</v>
      </c>
      <c r="Z17" s="7">
        <f>SUM(Z5:Z16)</f>
        <v>3810</v>
      </c>
      <c r="AA17" s="7" cm="1">
        <f t="array" ref="AA17">SUM(IFERROR(AA5:AA16,0))</f>
        <v>3810</v>
      </c>
      <c r="AB17" s="7"/>
      <c r="AC17" s="7">
        <f>GETPIVOTDATA("  Cost",$B$24)</f>
        <v>107.1</v>
      </c>
      <c r="AD17" s="7"/>
      <c r="AF17" s="5">
        <f>AF8</f>
        <v>2024</v>
      </c>
      <c r="AG17" s="20">
        <f>GETPIVOTDATA("Sales",$AF$6,"Year",AF17)</f>
        <v>4242</v>
      </c>
      <c r="AH17" s="5">
        <f t="shared" si="9"/>
        <v>0</v>
      </c>
      <c r="AI17" s="5">
        <f t="shared" si="9"/>
        <v>4242</v>
      </c>
      <c r="AJ17" s="5">
        <f t="shared" si="9"/>
        <v>0</v>
      </c>
      <c r="AK17" s="5">
        <f t="shared" si="9"/>
        <v>0</v>
      </c>
      <c r="AL17" s="5">
        <f t="shared" si="7"/>
        <v>0</v>
      </c>
      <c r="AM17" s="5" t="e">
        <f t="shared" si="8"/>
        <v>#N/A</v>
      </c>
      <c r="AO17" s="22" t="s">
        <v>96</v>
      </c>
      <c r="AP17" s="5">
        <f>GETPIVOTDATA("Sum of Containers-I",$AO$6)</f>
        <v>4128</v>
      </c>
      <c r="AQ17" s="5">
        <f>GETPIVOTDATA("Sum of Containers-S",$AO$6)</f>
        <v>3308</v>
      </c>
    </row>
    <row r="18" spans="2:43" x14ac:dyDescent="0.3">
      <c r="B18" s="2">
        <v>12</v>
      </c>
      <c r="C18" s="3">
        <v>300</v>
      </c>
      <c r="D18" s="3">
        <v>375</v>
      </c>
      <c r="E18" s="3">
        <v>107.1</v>
      </c>
      <c r="F18" s="3">
        <v>5</v>
      </c>
      <c r="H18" s="4">
        <v>12</v>
      </c>
      <c r="I18" s="5" t="s">
        <v>70</v>
      </c>
      <c r="J18" s="5">
        <f t="shared" si="3"/>
        <v>300</v>
      </c>
      <c r="K18" s="5">
        <f t="shared" si="4"/>
        <v>300</v>
      </c>
      <c r="L18" s="5">
        <f t="shared" si="5"/>
        <v>300</v>
      </c>
      <c r="S18" s="12" t="s">
        <v>33</v>
      </c>
      <c r="T18" s="10">
        <v>0.25</v>
      </c>
      <c r="U18" s="10">
        <v>0.75</v>
      </c>
      <c r="V18" s="13">
        <f>100%-U18</f>
        <v>0.25</v>
      </c>
      <c r="W18" s="14">
        <f>IF(T18=0,NA(),SIN(U18*2*PI()))</f>
        <v>-1</v>
      </c>
      <c r="X18" s="14">
        <f>IF(T18=0,NA(),COS(V18*2*PI()))</f>
        <v>6.1257422745431001E-17</v>
      </c>
      <c r="AF18" s="5">
        <f>AF9</f>
        <v>2025</v>
      </c>
      <c r="AG18" s="20">
        <f>GETPIVOTDATA("Sales",$AF$6,"Year",AF18)</f>
        <v>4472.5</v>
      </c>
      <c r="AH18" s="5">
        <f t="shared" si="9"/>
        <v>0</v>
      </c>
      <c r="AI18" s="5">
        <f t="shared" si="9"/>
        <v>0</v>
      </c>
      <c r="AJ18" s="5">
        <f t="shared" si="9"/>
        <v>0</v>
      </c>
      <c r="AK18" s="5">
        <f t="shared" si="9"/>
        <v>0</v>
      </c>
      <c r="AL18" s="5">
        <f t="shared" si="7"/>
        <v>4472.5</v>
      </c>
      <c r="AM18" s="5">
        <f t="shared" si="8"/>
        <v>4472.5</v>
      </c>
    </row>
    <row r="19" spans="2:43" x14ac:dyDescent="0.3">
      <c r="B19" s="2" t="s">
        <v>48</v>
      </c>
      <c r="C19" s="3">
        <v>3079</v>
      </c>
      <c r="D19" s="3">
        <v>3810</v>
      </c>
      <c r="E19" s="3">
        <v>1728.1999999999998</v>
      </c>
      <c r="F19" s="3">
        <v>60.879629629629626</v>
      </c>
      <c r="J19" s="25">
        <f>SUM(J7:J18)</f>
        <v>3079</v>
      </c>
      <c r="K19" s="25" cm="1">
        <f t="array" ref="K19">SUM(IFERROR(K7:K18,0))</f>
        <v>300</v>
      </c>
      <c r="L19" s="25"/>
      <c r="S19" s="12" t="s">
        <v>32</v>
      </c>
      <c r="T19" s="10">
        <v>0.25</v>
      </c>
      <c r="U19" s="10">
        <f>SUM($T$16:T19)</f>
        <v>1</v>
      </c>
      <c r="V19" s="13">
        <f>100%-U19</f>
        <v>0</v>
      </c>
      <c r="W19" s="14">
        <f>IF(T19=0,NA(),SIN(U19*2*PI()))</f>
        <v>-2.45029690981724E-16</v>
      </c>
      <c r="X19" s="14">
        <f>IF(T19=0,NA(),COS(V19*2*PI()))</f>
        <v>1</v>
      </c>
      <c r="AF19" s="5">
        <f>AF10</f>
        <v>2026</v>
      </c>
      <c r="AG19" s="20">
        <f>GETPIVOTDATA("Sales",$AF$6,"Year",AF19)</f>
        <v>3810</v>
      </c>
      <c r="AH19" s="5">
        <f t="shared" si="9"/>
        <v>0</v>
      </c>
      <c r="AI19" s="5">
        <f t="shared" si="9"/>
        <v>0</v>
      </c>
      <c r="AJ19" s="5">
        <f t="shared" si="9"/>
        <v>0</v>
      </c>
      <c r="AK19" s="5">
        <f t="shared" si="9"/>
        <v>3810</v>
      </c>
      <c r="AL19" s="5">
        <f t="shared" si="7"/>
        <v>0</v>
      </c>
      <c r="AM19" s="5" t="e">
        <f t="shared" si="8"/>
        <v>#N/A</v>
      </c>
    </row>
    <row r="20" spans="2:43" x14ac:dyDescent="0.3">
      <c r="S20" s="15"/>
      <c r="T20" s="16">
        <f>100%-SUM(T16:T19)</f>
        <v>0</v>
      </c>
      <c r="U20" s="15" t="s">
        <v>78</v>
      </c>
      <c r="V20" s="15">
        <v>1780</v>
      </c>
      <c r="W20" s="17" t="e">
        <f>IF(T20=0,NA(),0)</f>
        <v>#N/A</v>
      </c>
      <c r="X20" s="18" t="e">
        <f>IF(T20=0,NA(),1)</f>
        <v>#N/A</v>
      </c>
      <c r="AF20" s="5"/>
      <c r="AG20" s="5"/>
      <c r="AH20" s="5">
        <v>0</v>
      </c>
      <c r="AI20" s="5">
        <v>0</v>
      </c>
      <c r="AJ20" s="5">
        <v>0</v>
      </c>
      <c r="AK20" s="5">
        <v>0</v>
      </c>
      <c r="AL20" s="5">
        <f t="shared" si="7"/>
        <v>0</v>
      </c>
      <c r="AM20" s="5" t="e">
        <f t="shared" si="8"/>
        <v>#N/A</v>
      </c>
    </row>
    <row r="22" spans="2:43" x14ac:dyDescent="0.3">
      <c r="B22" s="1" t="s">
        <v>0</v>
      </c>
      <c r="C22" s="2">
        <v>2026</v>
      </c>
      <c r="U22" s="27" t="s">
        <v>112</v>
      </c>
      <c r="V22" s="27"/>
    </row>
    <row r="23" spans="2:43" x14ac:dyDescent="0.3">
      <c r="T23" t="s">
        <v>110</v>
      </c>
      <c r="U23" t="s">
        <v>111</v>
      </c>
      <c r="V23">
        <v>2023</v>
      </c>
      <c r="W23">
        <v>2024</v>
      </c>
      <c r="X23">
        <v>2025</v>
      </c>
      <c r="Y23">
        <v>2026</v>
      </c>
    </row>
    <row r="24" spans="2:43" x14ac:dyDescent="0.3">
      <c r="B24" s="1" t="s">
        <v>47</v>
      </c>
      <c r="C24" s="3" t="s">
        <v>52</v>
      </c>
      <c r="D24" t="s">
        <v>72</v>
      </c>
      <c r="E24" t="s">
        <v>53</v>
      </c>
      <c r="F24" t="s">
        <v>54</v>
      </c>
      <c r="G24" t="s">
        <v>55</v>
      </c>
      <c r="S24" t="s">
        <v>106</v>
      </c>
      <c r="T24" s="3" cm="1">
        <f t="array" ref="T24">SUM(IFERROR(AA5:AA16,0))</f>
        <v>3810</v>
      </c>
      <c r="U24">
        <f>INDEX(V24:Y24,MATCH($C$4,$V$23:$Y$23,0))</f>
        <v>4200</v>
      </c>
      <c r="V24">
        <v>2800</v>
      </c>
      <c r="W24">
        <v>3800</v>
      </c>
      <c r="X24">
        <v>4000</v>
      </c>
      <c r="Y24">
        <v>4200</v>
      </c>
    </row>
    <row r="25" spans="2:43" x14ac:dyDescent="0.3">
      <c r="B25" s="2">
        <v>12</v>
      </c>
      <c r="C25" s="3">
        <v>300</v>
      </c>
      <c r="D25" s="8">
        <v>0.45499999999999996</v>
      </c>
      <c r="E25" s="28">
        <v>375</v>
      </c>
      <c r="F25" s="28">
        <v>107.1</v>
      </c>
      <c r="G25" s="28">
        <v>5</v>
      </c>
      <c r="S25" t="s">
        <v>107</v>
      </c>
      <c r="T25" s="3" cm="1">
        <f t="array" ref="T25">SUM(IFERROR(K7:K18,0))</f>
        <v>300</v>
      </c>
      <c r="U25">
        <f>INDEX(V25:Y25,MATCH($C$4,$V$23:$Y$23,0))</f>
        <v>3200</v>
      </c>
      <c r="V25">
        <v>2000</v>
      </c>
      <c r="W25">
        <v>3000</v>
      </c>
      <c r="X25">
        <v>3000</v>
      </c>
      <c r="Y25">
        <v>3200</v>
      </c>
    </row>
    <row r="26" spans="2:43" x14ac:dyDescent="0.3">
      <c r="B26" s="2" t="s">
        <v>48</v>
      </c>
      <c r="C26" s="3">
        <v>300</v>
      </c>
      <c r="D26" s="8">
        <v>0.45499999999999996</v>
      </c>
      <c r="E26" s="28">
        <v>375</v>
      </c>
      <c r="F26" s="28">
        <v>107.1</v>
      </c>
      <c r="G26" s="28">
        <v>5</v>
      </c>
      <c r="S26" t="s">
        <v>108</v>
      </c>
      <c r="T26" s="3" cm="1">
        <f t="array" ref="T26">SUM(IFERROR(F25:F36,0))</f>
        <v>214.2</v>
      </c>
      <c r="U26">
        <f>INDEX(V26:Y26,MATCH($C$4,$V$23:$Y$23,0))</f>
        <v>1850</v>
      </c>
      <c r="V26">
        <v>1200</v>
      </c>
      <c r="W26">
        <v>1600</v>
      </c>
      <c r="X26">
        <v>1800</v>
      </c>
      <c r="Y26">
        <v>1850</v>
      </c>
    </row>
    <row r="27" spans="2:43" x14ac:dyDescent="0.3">
      <c r="S27" t="s">
        <v>109</v>
      </c>
      <c r="T27" s="3" cm="1">
        <f t="array" ref="T27">SUM(IFERROR(G25:G36,0))</f>
        <v>10</v>
      </c>
      <c r="U27">
        <f>INDEX(V27:Y27,MATCH($C$4,$V$23:$Y$23,0))</f>
        <v>4000</v>
      </c>
      <c r="V27">
        <v>3200</v>
      </c>
      <c r="W27">
        <v>3400</v>
      </c>
      <c r="X27">
        <v>3800</v>
      </c>
      <c r="Y27">
        <v>4000</v>
      </c>
    </row>
    <row r="30" spans="2:43" x14ac:dyDescent="0.3">
      <c r="S30" s="5" t="s">
        <v>106</v>
      </c>
      <c r="T30" s="24">
        <f>T24/U24</f>
        <v>0.90714285714285714</v>
      </c>
      <c r="U30" s="24">
        <f>IF($T30&lt;100%,T30,0)</f>
        <v>0.90714285714285714</v>
      </c>
      <c r="V30" s="24">
        <f>IF($T30&lt;100%,0,T30-100%)</f>
        <v>0</v>
      </c>
      <c r="W30" s="24">
        <f>IF($T30&lt;100%,0,100-V30)</f>
        <v>0</v>
      </c>
      <c r="X30" s="24">
        <f>IF($T30&lt;100%,100%-U30,0)</f>
        <v>9.285714285714286E-2</v>
      </c>
    </row>
    <row r="31" spans="2:43" x14ac:dyDescent="0.3">
      <c r="S31" s="5" t="s">
        <v>107</v>
      </c>
      <c r="T31" s="24">
        <f>T25/U25</f>
        <v>9.375E-2</v>
      </c>
      <c r="U31" s="24">
        <f>IF($T31&lt;100%,T31,0)</f>
        <v>9.375E-2</v>
      </c>
      <c r="V31" s="24">
        <f>IF($T31&lt;100%,0,T31-100%)</f>
        <v>0</v>
      </c>
      <c r="W31" s="24">
        <f>IF($T31&lt;100%,0,100-V31)</f>
        <v>0</v>
      </c>
      <c r="X31" s="24">
        <f>IF($T31&lt;100%,100%-U31,0)</f>
        <v>0.90625</v>
      </c>
    </row>
    <row r="32" spans="2:43" x14ac:dyDescent="0.3">
      <c r="S32" s="5" t="s">
        <v>108</v>
      </c>
      <c r="T32" s="24">
        <f>T26/U26</f>
        <v>0.11578378378378378</v>
      </c>
      <c r="U32" s="24">
        <f>IF($T32&lt;100%,T32,0)</f>
        <v>0.11578378378378378</v>
      </c>
      <c r="V32" s="24">
        <f>IF($T32&lt;100%,0,T32-100%)</f>
        <v>0</v>
      </c>
      <c r="W32" s="24">
        <f>IF($T32&lt;100%,0,100-V32)</f>
        <v>0</v>
      </c>
      <c r="X32" s="24">
        <f>IF($T32&lt;100%,100%-U32,0)</f>
        <v>0.88421621621621627</v>
      </c>
    </row>
    <row r="33" spans="19:24" x14ac:dyDescent="0.3">
      <c r="S33" s="5" t="s">
        <v>109</v>
      </c>
      <c r="T33" s="24">
        <f>T27/U27</f>
        <v>2.5000000000000001E-3</v>
      </c>
      <c r="U33" s="24">
        <f>IF($T33&lt;100%,T33,0)</f>
        <v>2.5000000000000001E-3</v>
      </c>
      <c r="V33" s="24">
        <f>IF($T33&lt;100%,0,T33-100%)</f>
        <v>0</v>
      </c>
      <c r="W33" s="24">
        <f>IF($T33&lt;100%,0,100-V33)</f>
        <v>0</v>
      </c>
      <c r="X33" s="24">
        <f>IF($T33&lt;100%,100%-U33,0)</f>
        <v>0.99750000000000005</v>
      </c>
    </row>
  </sheetData>
  <mergeCells count="7">
    <mergeCell ref="AO2:AQ2"/>
    <mergeCell ref="U22:V22"/>
    <mergeCell ref="B2:D2"/>
    <mergeCell ref="N2:P2"/>
    <mergeCell ref="S2:U2"/>
    <mergeCell ref="Z2:AB2"/>
    <mergeCell ref="AF2:AH2"/>
  </mergeCells>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E3E66-4573-4ADC-9AC4-D8159FA48562}">
  <dimension ref="T25"/>
  <sheetViews>
    <sheetView showGridLines="0" tabSelected="1" zoomScale="91" zoomScaleNormal="91" zoomScaleSheetLayoutView="50" workbookViewId="0">
      <selection activeCell="P38" sqref="P38"/>
    </sheetView>
  </sheetViews>
  <sheetFormatPr defaultRowHeight="14.4" x14ac:dyDescent="0.3"/>
  <sheetData>
    <row r="25" spans="20:20" x14ac:dyDescent="0.3">
      <c r="T25">
        <f>PIVOT!L1</f>
        <v>0</v>
      </c>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6E8F7-601A-4342-ADE8-5DF571A5C7F2}">
  <dimension ref="A1:AF193"/>
  <sheetViews>
    <sheetView topLeftCell="A2" zoomScale="110" zoomScaleNormal="110" workbookViewId="0">
      <selection activeCell="C7" sqref="C7"/>
    </sheetView>
  </sheetViews>
  <sheetFormatPr defaultRowHeight="14.4" x14ac:dyDescent="0.3"/>
  <cols>
    <col min="3" max="3" width="13.21875" customWidth="1"/>
    <col min="4" max="4" width="15.109375" customWidth="1"/>
    <col min="5" max="5" width="12.6640625" customWidth="1"/>
    <col min="6" max="6" width="15.33203125" customWidth="1"/>
    <col min="7" max="7" width="13.21875" customWidth="1"/>
    <col min="10" max="10" width="10.109375" customWidth="1"/>
    <col min="11" max="11" width="11.33203125" customWidth="1"/>
    <col min="12" max="12" width="12.33203125" customWidth="1"/>
    <col min="13" max="13" width="13.44140625" customWidth="1"/>
    <col min="14" max="14" width="13.88671875" customWidth="1"/>
    <col min="15" max="15" width="13" customWidth="1"/>
    <col min="16" max="16" width="10.6640625" customWidth="1"/>
    <col min="17" max="17" width="11.88671875" customWidth="1"/>
    <col min="18" max="18" width="12.88671875" customWidth="1"/>
    <col min="19" max="19" width="14" customWidth="1"/>
    <col min="20" max="20" width="14.44140625" customWidth="1"/>
    <col min="21" max="21" width="13.5546875" customWidth="1"/>
    <col min="22" max="22" width="13.88671875" customWidth="1"/>
    <col min="23" max="23" width="9.33203125" customWidth="1"/>
    <col min="24" max="24" width="9.88671875" customWidth="1"/>
    <col min="25" max="25" width="9.6640625" customWidth="1"/>
    <col min="26" max="26" width="11.44140625" customWidth="1"/>
    <col min="27" max="27" width="12.21875" customWidth="1"/>
    <col min="28" max="28" width="10.5546875" customWidth="1"/>
    <col min="31" max="31" width="9.44140625" customWidth="1"/>
    <col min="32" max="32" width="12.88671875" customWidth="1"/>
  </cols>
  <sheetData>
    <row r="1" spans="1:32" x14ac:dyDescent="0.3">
      <c r="A1" t="s">
        <v>0</v>
      </c>
      <c r="B1" t="s">
        <v>1</v>
      </c>
      <c r="C1" t="s">
        <v>2</v>
      </c>
      <c r="D1" t="s">
        <v>3</v>
      </c>
      <c r="E1" t="s">
        <v>4</v>
      </c>
      <c r="F1" t="s">
        <v>5</v>
      </c>
      <c r="G1" t="s">
        <v>51</v>
      </c>
      <c r="H1" t="s">
        <v>6</v>
      </c>
      <c r="I1" t="s">
        <v>7</v>
      </c>
      <c r="J1" t="s">
        <v>8</v>
      </c>
      <c r="K1" t="s">
        <v>9</v>
      </c>
      <c r="L1" t="s">
        <v>10</v>
      </c>
      <c r="M1" t="s">
        <v>11</v>
      </c>
      <c r="N1" t="s">
        <v>12</v>
      </c>
      <c r="O1" t="s">
        <v>13</v>
      </c>
      <c r="P1" t="s">
        <v>14</v>
      </c>
      <c r="Q1" t="s">
        <v>15</v>
      </c>
      <c r="R1" t="s">
        <v>16</v>
      </c>
      <c r="S1" t="s">
        <v>17</v>
      </c>
      <c r="T1" t="s">
        <v>18</v>
      </c>
      <c r="U1" t="s">
        <v>19</v>
      </c>
      <c r="V1" t="s">
        <v>20</v>
      </c>
      <c r="W1" t="s">
        <v>21</v>
      </c>
      <c r="X1" t="s">
        <v>22</v>
      </c>
      <c r="Y1" t="s">
        <v>23</v>
      </c>
      <c r="Z1" t="s">
        <v>24</v>
      </c>
      <c r="AA1" t="s">
        <v>25</v>
      </c>
      <c r="AB1" t="s">
        <v>26</v>
      </c>
      <c r="AC1" t="s">
        <v>27</v>
      </c>
      <c r="AD1" t="s">
        <v>28</v>
      </c>
      <c r="AE1" t="s">
        <v>29</v>
      </c>
      <c r="AF1" t="s">
        <v>30</v>
      </c>
    </row>
    <row r="2" spans="1:32" x14ac:dyDescent="0.3">
      <c r="A2">
        <v>2026</v>
      </c>
      <c r="B2">
        <v>1</v>
      </c>
      <c r="C2" t="s">
        <v>31</v>
      </c>
      <c r="D2" t="s">
        <v>32</v>
      </c>
      <c r="E2">
        <v>77</v>
      </c>
      <c r="F2">
        <v>0.57999999999999996</v>
      </c>
      <c r="G2">
        <f t="shared" ref="G2:G33" si="0">H2/E2</f>
        <v>1.25</v>
      </c>
      <c r="H2">
        <v>96.25</v>
      </c>
      <c r="I2">
        <v>27.25</v>
      </c>
      <c r="J2">
        <v>59</v>
      </c>
      <c r="K2">
        <v>107</v>
      </c>
      <c r="L2">
        <v>53</v>
      </c>
      <c r="M2">
        <v>92</v>
      </c>
      <c r="N2">
        <v>79</v>
      </c>
      <c r="O2">
        <v>59</v>
      </c>
      <c r="P2">
        <v>130</v>
      </c>
      <c r="Q2">
        <v>116</v>
      </c>
      <c r="R2">
        <v>65</v>
      </c>
      <c r="S2">
        <v>104</v>
      </c>
      <c r="T2">
        <v>32</v>
      </c>
      <c r="U2">
        <v>77</v>
      </c>
      <c r="V2">
        <v>25</v>
      </c>
      <c r="W2">
        <v>441</v>
      </c>
      <c r="X2">
        <v>77</v>
      </c>
      <c r="Y2">
        <v>357</v>
      </c>
      <c r="Z2">
        <v>183</v>
      </c>
      <c r="AA2">
        <v>97</v>
      </c>
      <c r="AB2">
        <v>10</v>
      </c>
      <c r="AC2">
        <v>422</v>
      </c>
      <c r="AD2">
        <v>29</v>
      </c>
      <c r="AE2">
        <v>71</v>
      </c>
      <c r="AF2">
        <v>40</v>
      </c>
    </row>
    <row r="3" spans="1:32" x14ac:dyDescent="0.3">
      <c r="A3">
        <v>2026</v>
      </c>
      <c r="B3">
        <v>1</v>
      </c>
      <c r="C3" t="s">
        <v>31</v>
      </c>
      <c r="D3" t="s">
        <v>32</v>
      </c>
      <c r="E3">
        <v>54</v>
      </c>
      <c r="F3">
        <v>0.41</v>
      </c>
      <c r="G3">
        <f t="shared" si="0"/>
        <v>1.25</v>
      </c>
      <c r="H3">
        <v>67.5</v>
      </c>
      <c r="I3">
        <v>25.15</v>
      </c>
      <c r="J3">
        <v>70</v>
      </c>
      <c r="K3">
        <v>108</v>
      </c>
      <c r="L3">
        <v>96</v>
      </c>
      <c r="M3">
        <v>132</v>
      </c>
      <c r="N3">
        <v>66</v>
      </c>
      <c r="O3">
        <v>83</v>
      </c>
      <c r="P3">
        <v>78</v>
      </c>
      <c r="Q3">
        <v>96</v>
      </c>
      <c r="R3">
        <v>60</v>
      </c>
      <c r="S3">
        <v>94</v>
      </c>
      <c r="T3">
        <v>63</v>
      </c>
      <c r="U3">
        <v>92</v>
      </c>
      <c r="V3">
        <v>26</v>
      </c>
      <c r="W3">
        <v>281</v>
      </c>
      <c r="X3">
        <v>354</v>
      </c>
      <c r="Y3">
        <v>695</v>
      </c>
      <c r="Z3">
        <v>8</v>
      </c>
      <c r="AA3">
        <v>18</v>
      </c>
      <c r="AB3">
        <v>61</v>
      </c>
      <c r="AC3">
        <v>316</v>
      </c>
      <c r="AD3">
        <v>353</v>
      </c>
      <c r="AE3">
        <v>44</v>
      </c>
      <c r="AF3">
        <v>65</v>
      </c>
    </row>
    <row r="4" spans="1:32" x14ac:dyDescent="0.3">
      <c r="A4">
        <v>2026</v>
      </c>
      <c r="B4">
        <v>1</v>
      </c>
      <c r="C4" t="s">
        <v>31</v>
      </c>
      <c r="D4" t="s">
        <v>33</v>
      </c>
      <c r="E4">
        <v>104</v>
      </c>
      <c r="F4">
        <v>0.56999999999999995</v>
      </c>
      <c r="G4">
        <f t="shared" si="0"/>
        <v>1.25</v>
      </c>
      <c r="H4">
        <v>130</v>
      </c>
      <c r="I4">
        <v>17.3</v>
      </c>
      <c r="J4">
        <v>78</v>
      </c>
      <c r="K4">
        <v>102</v>
      </c>
      <c r="L4">
        <v>41</v>
      </c>
      <c r="M4">
        <v>116</v>
      </c>
      <c r="N4">
        <v>49</v>
      </c>
      <c r="O4">
        <v>103</v>
      </c>
      <c r="P4">
        <v>100</v>
      </c>
      <c r="Q4">
        <v>114</v>
      </c>
      <c r="R4">
        <v>138</v>
      </c>
      <c r="S4">
        <v>104</v>
      </c>
      <c r="T4">
        <v>33</v>
      </c>
      <c r="U4">
        <v>94</v>
      </c>
      <c r="V4">
        <v>19</v>
      </c>
      <c r="W4">
        <v>345</v>
      </c>
      <c r="X4">
        <v>159</v>
      </c>
      <c r="Y4">
        <v>375</v>
      </c>
      <c r="Z4">
        <v>162</v>
      </c>
      <c r="AA4">
        <v>139</v>
      </c>
      <c r="AB4">
        <v>93</v>
      </c>
      <c r="AC4">
        <v>136</v>
      </c>
      <c r="AD4">
        <v>220</v>
      </c>
      <c r="AE4">
        <v>82</v>
      </c>
      <c r="AF4">
        <v>172</v>
      </c>
    </row>
    <row r="5" spans="1:32" x14ac:dyDescent="0.3">
      <c r="A5">
        <v>2026</v>
      </c>
      <c r="B5">
        <v>1</v>
      </c>
      <c r="C5" t="s">
        <v>31</v>
      </c>
      <c r="D5" t="s">
        <v>34</v>
      </c>
      <c r="E5">
        <v>45</v>
      </c>
      <c r="F5">
        <v>0.75</v>
      </c>
      <c r="G5">
        <f t="shared" si="0"/>
        <v>1.25</v>
      </c>
      <c r="H5">
        <v>56.25</v>
      </c>
      <c r="I5">
        <v>31</v>
      </c>
      <c r="J5">
        <v>57</v>
      </c>
      <c r="K5">
        <v>51</v>
      </c>
      <c r="L5">
        <v>84</v>
      </c>
      <c r="M5">
        <v>139</v>
      </c>
      <c r="N5">
        <v>68</v>
      </c>
      <c r="O5">
        <v>91</v>
      </c>
      <c r="P5">
        <v>73</v>
      </c>
      <c r="Q5">
        <v>116</v>
      </c>
      <c r="R5">
        <v>50</v>
      </c>
      <c r="S5">
        <v>61</v>
      </c>
      <c r="T5">
        <v>66</v>
      </c>
      <c r="U5">
        <v>34</v>
      </c>
      <c r="V5">
        <v>30</v>
      </c>
      <c r="W5">
        <v>415</v>
      </c>
      <c r="X5">
        <v>151</v>
      </c>
      <c r="Y5">
        <v>677</v>
      </c>
      <c r="Z5">
        <v>108</v>
      </c>
      <c r="AA5">
        <v>104</v>
      </c>
      <c r="AB5">
        <v>107</v>
      </c>
      <c r="AC5">
        <v>656</v>
      </c>
      <c r="AD5">
        <v>28</v>
      </c>
      <c r="AE5">
        <v>104</v>
      </c>
      <c r="AF5">
        <v>75</v>
      </c>
    </row>
    <row r="6" spans="1:32" x14ac:dyDescent="0.3">
      <c r="A6">
        <v>2026</v>
      </c>
      <c r="B6">
        <v>2</v>
      </c>
      <c r="C6" t="s">
        <v>35</v>
      </c>
      <c r="D6" t="s">
        <v>32</v>
      </c>
      <c r="E6">
        <v>27</v>
      </c>
      <c r="F6">
        <v>0.52</v>
      </c>
      <c r="G6">
        <f t="shared" si="0"/>
        <v>2.9629629629629628</v>
      </c>
      <c r="H6">
        <v>80</v>
      </c>
      <c r="I6">
        <v>40.950000000000003</v>
      </c>
      <c r="J6">
        <v>49</v>
      </c>
      <c r="K6">
        <v>38</v>
      </c>
      <c r="L6">
        <v>87</v>
      </c>
      <c r="M6">
        <v>145</v>
      </c>
      <c r="N6">
        <v>50</v>
      </c>
      <c r="O6">
        <v>77</v>
      </c>
      <c r="P6">
        <v>129</v>
      </c>
      <c r="Q6">
        <v>114</v>
      </c>
      <c r="R6">
        <v>114</v>
      </c>
      <c r="S6">
        <v>104</v>
      </c>
      <c r="T6">
        <v>30</v>
      </c>
      <c r="U6">
        <v>89</v>
      </c>
      <c r="V6">
        <v>24</v>
      </c>
      <c r="W6">
        <v>380</v>
      </c>
      <c r="X6">
        <v>44</v>
      </c>
      <c r="Y6">
        <v>517</v>
      </c>
      <c r="Z6">
        <v>79</v>
      </c>
      <c r="AA6">
        <v>98</v>
      </c>
      <c r="AB6">
        <v>159</v>
      </c>
      <c r="AC6">
        <v>174</v>
      </c>
      <c r="AD6">
        <v>142</v>
      </c>
      <c r="AE6">
        <v>344</v>
      </c>
      <c r="AF6">
        <v>15</v>
      </c>
    </row>
    <row r="7" spans="1:32" x14ac:dyDescent="0.3">
      <c r="A7">
        <v>2026</v>
      </c>
      <c r="B7">
        <v>2</v>
      </c>
      <c r="C7" t="s">
        <v>35</v>
      </c>
      <c r="D7" t="s">
        <v>34</v>
      </c>
      <c r="E7">
        <v>22</v>
      </c>
      <c r="F7">
        <v>0.37</v>
      </c>
      <c r="G7">
        <f t="shared" si="0"/>
        <v>1.25</v>
      </c>
      <c r="H7">
        <v>27.5</v>
      </c>
      <c r="I7">
        <v>58.8</v>
      </c>
      <c r="J7">
        <v>82</v>
      </c>
      <c r="K7">
        <v>53</v>
      </c>
      <c r="L7">
        <v>80</v>
      </c>
      <c r="M7">
        <v>58</v>
      </c>
      <c r="N7">
        <v>60</v>
      </c>
      <c r="O7">
        <v>110</v>
      </c>
      <c r="P7">
        <v>50</v>
      </c>
      <c r="Q7">
        <v>123</v>
      </c>
      <c r="R7">
        <v>70</v>
      </c>
      <c r="S7">
        <v>82</v>
      </c>
      <c r="T7">
        <v>54</v>
      </c>
      <c r="U7">
        <v>70</v>
      </c>
      <c r="V7">
        <v>65</v>
      </c>
      <c r="W7">
        <v>86</v>
      </c>
      <c r="X7">
        <v>99</v>
      </c>
      <c r="Y7">
        <v>557</v>
      </c>
      <c r="Z7">
        <v>253</v>
      </c>
      <c r="AA7">
        <v>126</v>
      </c>
      <c r="AB7">
        <v>120</v>
      </c>
      <c r="AC7">
        <v>290</v>
      </c>
      <c r="AD7">
        <v>159</v>
      </c>
      <c r="AE7">
        <v>267</v>
      </c>
      <c r="AF7">
        <v>44</v>
      </c>
    </row>
    <row r="8" spans="1:32" x14ac:dyDescent="0.3">
      <c r="A8">
        <v>2026</v>
      </c>
      <c r="B8">
        <v>2</v>
      </c>
      <c r="C8" t="s">
        <v>35</v>
      </c>
      <c r="D8" t="s">
        <v>32</v>
      </c>
      <c r="E8">
        <v>67</v>
      </c>
      <c r="F8">
        <v>0.8</v>
      </c>
      <c r="G8">
        <f t="shared" si="0"/>
        <v>1.25</v>
      </c>
      <c r="H8">
        <v>83.75</v>
      </c>
      <c r="I8">
        <v>35.700000000000003</v>
      </c>
      <c r="J8">
        <v>31</v>
      </c>
      <c r="K8">
        <v>57</v>
      </c>
      <c r="L8">
        <v>75</v>
      </c>
      <c r="M8">
        <v>145</v>
      </c>
      <c r="N8">
        <v>52</v>
      </c>
      <c r="O8">
        <v>119</v>
      </c>
      <c r="P8">
        <v>56</v>
      </c>
      <c r="Q8">
        <v>114</v>
      </c>
      <c r="R8">
        <v>63</v>
      </c>
      <c r="S8">
        <v>77</v>
      </c>
      <c r="T8">
        <v>32</v>
      </c>
      <c r="U8">
        <v>78</v>
      </c>
      <c r="V8">
        <v>51</v>
      </c>
      <c r="W8">
        <v>33</v>
      </c>
      <c r="X8">
        <v>358</v>
      </c>
      <c r="Y8">
        <v>37</v>
      </c>
      <c r="Z8">
        <v>321</v>
      </c>
      <c r="AA8">
        <v>273</v>
      </c>
      <c r="AB8">
        <v>131</v>
      </c>
      <c r="AC8">
        <v>416</v>
      </c>
      <c r="AD8">
        <v>18</v>
      </c>
      <c r="AE8">
        <v>170</v>
      </c>
      <c r="AF8">
        <v>48</v>
      </c>
    </row>
    <row r="9" spans="1:32" x14ac:dyDescent="0.3">
      <c r="A9">
        <v>2026</v>
      </c>
      <c r="B9">
        <v>2</v>
      </c>
      <c r="C9" t="s">
        <v>35</v>
      </c>
      <c r="D9" t="s">
        <v>36</v>
      </c>
      <c r="E9">
        <v>27</v>
      </c>
      <c r="F9">
        <v>0.46</v>
      </c>
      <c r="G9">
        <f t="shared" si="0"/>
        <v>1.25</v>
      </c>
      <c r="H9">
        <v>33.75</v>
      </c>
      <c r="I9">
        <v>14.7</v>
      </c>
      <c r="J9">
        <v>68</v>
      </c>
      <c r="K9">
        <v>50</v>
      </c>
      <c r="L9">
        <v>64</v>
      </c>
      <c r="M9">
        <v>144</v>
      </c>
      <c r="N9">
        <v>78</v>
      </c>
      <c r="O9">
        <v>104</v>
      </c>
      <c r="P9">
        <v>88</v>
      </c>
      <c r="Q9">
        <v>86</v>
      </c>
      <c r="R9">
        <v>53</v>
      </c>
      <c r="S9">
        <v>46</v>
      </c>
      <c r="T9">
        <v>55</v>
      </c>
      <c r="U9">
        <v>90</v>
      </c>
      <c r="V9">
        <v>40</v>
      </c>
      <c r="W9">
        <v>322</v>
      </c>
      <c r="X9">
        <v>32</v>
      </c>
      <c r="Y9">
        <v>950</v>
      </c>
      <c r="Z9">
        <v>111</v>
      </c>
      <c r="AA9">
        <v>126</v>
      </c>
      <c r="AB9">
        <v>58</v>
      </c>
      <c r="AC9">
        <v>586</v>
      </c>
      <c r="AD9">
        <v>50</v>
      </c>
      <c r="AE9">
        <v>54</v>
      </c>
      <c r="AF9">
        <v>179</v>
      </c>
    </row>
    <row r="10" spans="1:32" x14ac:dyDescent="0.3">
      <c r="A10">
        <v>2026</v>
      </c>
      <c r="B10">
        <v>3</v>
      </c>
      <c r="C10" t="s">
        <v>37</v>
      </c>
      <c r="D10" t="s">
        <v>33</v>
      </c>
      <c r="E10">
        <v>22</v>
      </c>
      <c r="F10">
        <v>0.31</v>
      </c>
      <c r="G10">
        <f t="shared" si="0"/>
        <v>1.25</v>
      </c>
      <c r="H10">
        <v>27.5</v>
      </c>
      <c r="I10">
        <v>24.15</v>
      </c>
      <c r="J10">
        <v>47</v>
      </c>
      <c r="K10">
        <v>110</v>
      </c>
      <c r="L10">
        <v>53</v>
      </c>
      <c r="M10">
        <v>113</v>
      </c>
      <c r="N10">
        <v>55</v>
      </c>
      <c r="O10">
        <v>78</v>
      </c>
      <c r="P10">
        <v>135</v>
      </c>
      <c r="Q10">
        <v>115</v>
      </c>
      <c r="R10">
        <v>58</v>
      </c>
      <c r="S10">
        <v>99</v>
      </c>
      <c r="T10">
        <v>55</v>
      </c>
      <c r="U10">
        <v>87</v>
      </c>
      <c r="V10">
        <v>51</v>
      </c>
      <c r="W10">
        <v>39</v>
      </c>
      <c r="X10">
        <v>164</v>
      </c>
      <c r="Y10">
        <v>505</v>
      </c>
      <c r="Z10">
        <v>41</v>
      </c>
      <c r="AA10">
        <v>196</v>
      </c>
      <c r="AB10">
        <v>81</v>
      </c>
      <c r="AC10">
        <v>542</v>
      </c>
      <c r="AD10">
        <v>56</v>
      </c>
      <c r="AE10">
        <v>164</v>
      </c>
      <c r="AF10">
        <v>119</v>
      </c>
    </row>
    <row r="11" spans="1:32" x14ac:dyDescent="0.3">
      <c r="A11">
        <v>2026</v>
      </c>
      <c r="B11">
        <v>3</v>
      </c>
      <c r="C11" t="s">
        <v>37</v>
      </c>
      <c r="D11" t="s">
        <v>34</v>
      </c>
      <c r="E11">
        <v>58</v>
      </c>
      <c r="F11">
        <v>0.48</v>
      </c>
      <c r="G11">
        <f t="shared" si="0"/>
        <v>1.25</v>
      </c>
      <c r="H11">
        <v>72.5</v>
      </c>
      <c r="I11">
        <v>39.9</v>
      </c>
      <c r="J11">
        <v>31</v>
      </c>
      <c r="K11">
        <v>71</v>
      </c>
      <c r="L11">
        <v>103</v>
      </c>
      <c r="M11">
        <v>103</v>
      </c>
      <c r="N11">
        <v>109</v>
      </c>
      <c r="O11">
        <v>128</v>
      </c>
      <c r="P11">
        <v>115</v>
      </c>
      <c r="Q11">
        <v>106</v>
      </c>
      <c r="R11">
        <v>99</v>
      </c>
      <c r="S11">
        <v>87</v>
      </c>
      <c r="T11">
        <v>63</v>
      </c>
      <c r="U11">
        <v>41</v>
      </c>
      <c r="V11">
        <v>33</v>
      </c>
      <c r="W11">
        <v>33</v>
      </c>
      <c r="X11">
        <v>160</v>
      </c>
      <c r="Y11">
        <v>45</v>
      </c>
      <c r="Z11">
        <v>136</v>
      </c>
      <c r="AA11">
        <v>313</v>
      </c>
      <c r="AB11">
        <v>37</v>
      </c>
      <c r="AC11">
        <v>146</v>
      </c>
      <c r="AD11">
        <v>46</v>
      </c>
      <c r="AE11">
        <v>292</v>
      </c>
      <c r="AF11">
        <v>16</v>
      </c>
    </row>
    <row r="12" spans="1:32" x14ac:dyDescent="0.3">
      <c r="A12">
        <v>2026</v>
      </c>
      <c r="B12">
        <v>3</v>
      </c>
      <c r="C12" t="s">
        <v>37</v>
      </c>
      <c r="D12" t="s">
        <v>33</v>
      </c>
      <c r="E12">
        <v>46</v>
      </c>
      <c r="F12">
        <v>0.77</v>
      </c>
      <c r="G12">
        <f t="shared" si="0"/>
        <v>1.25</v>
      </c>
      <c r="H12">
        <v>57.5</v>
      </c>
      <c r="I12">
        <v>18.899999999999999</v>
      </c>
      <c r="J12">
        <v>71</v>
      </c>
      <c r="K12">
        <v>113</v>
      </c>
      <c r="L12">
        <v>44</v>
      </c>
      <c r="M12">
        <v>68</v>
      </c>
      <c r="N12">
        <v>96</v>
      </c>
      <c r="O12">
        <v>97</v>
      </c>
      <c r="P12">
        <v>47</v>
      </c>
      <c r="Q12">
        <v>77</v>
      </c>
      <c r="R12">
        <v>113</v>
      </c>
      <c r="S12">
        <v>48</v>
      </c>
      <c r="T12">
        <v>67</v>
      </c>
      <c r="U12">
        <v>55</v>
      </c>
      <c r="V12">
        <v>54</v>
      </c>
      <c r="W12">
        <v>53</v>
      </c>
      <c r="X12">
        <v>8</v>
      </c>
      <c r="Y12">
        <v>97</v>
      </c>
      <c r="Z12">
        <v>160</v>
      </c>
      <c r="AA12">
        <v>166</v>
      </c>
      <c r="AB12">
        <v>76</v>
      </c>
      <c r="AC12">
        <v>80</v>
      </c>
      <c r="AD12">
        <v>324</v>
      </c>
      <c r="AE12">
        <v>152</v>
      </c>
      <c r="AF12">
        <v>38</v>
      </c>
    </row>
    <row r="13" spans="1:32" x14ac:dyDescent="0.3">
      <c r="A13">
        <v>2026</v>
      </c>
      <c r="B13">
        <v>3</v>
      </c>
      <c r="C13" t="s">
        <v>37</v>
      </c>
      <c r="D13" t="s">
        <v>34</v>
      </c>
      <c r="E13">
        <v>50</v>
      </c>
      <c r="F13">
        <v>0.4</v>
      </c>
      <c r="G13">
        <f t="shared" si="0"/>
        <v>1.25</v>
      </c>
      <c r="H13">
        <v>62.5</v>
      </c>
      <c r="I13">
        <v>43.05</v>
      </c>
      <c r="J13">
        <v>32</v>
      </c>
      <c r="K13">
        <v>55</v>
      </c>
      <c r="L13">
        <v>61</v>
      </c>
      <c r="M13">
        <v>108</v>
      </c>
      <c r="N13">
        <v>67</v>
      </c>
      <c r="O13">
        <v>72</v>
      </c>
      <c r="P13">
        <v>131</v>
      </c>
      <c r="Q13">
        <v>75</v>
      </c>
      <c r="R13">
        <v>55</v>
      </c>
      <c r="S13">
        <v>49</v>
      </c>
      <c r="T13">
        <v>67</v>
      </c>
      <c r="U13">
        <v>37</v>
      </c>
      <c r="V13">
        <v>22</v>
      </c>
      <c r="W13">
        <v>314</v>
      </c>
      <c r="X13">
        <v>46</v>
      </c>
      <c r="Y13">
        <v>72</v>
      </c>
      <c r="Z13">
        <v>80</v>
      </c>
      <c r="AA13">
        <v>78</v>
      </c>
      <c r="AB13">
        <v>259</v>
      </c>
      <c r="AC13">
        <v>514</v>
      </c>
      <c r="AD13">
        <v>199</v>
      </c>
      <c r="AE13">
        <v>21</v>
      </c>
      <c r="AF13">
        <v>6</v>
      </c>
    </row>
    <row r="14" spans="1:32" x14ac:dyDescent="0.3">
      <c r="A14">
        <v>2026</v>
      </c>
      <c r="B14">
        <v>4</v>
      </c>
      <c r="C14" t="s">
        <v>38</v>
      </c>
      <c r="D14" t="s">
        <v>32</v>
      </c>
      <c r="E14">
        <v>78</v>
      </c>
      <c r="F14">
        <v>0.78</v>
      </c>
      <c r="G14">
        <f t="shared" si="0"/>
        <v>1.25</v>
      </c>
      <c r="H14">
        <v>97.5</v>
      </c>
      <c r="I14">
        <v>33.6</v>
      </c>
      <c r="J14">
        <v>73</v>
      </c>
      <c r="K14">
        <v>90</v>
      </c>
      <c r="L14">
        <v>95</v>
      </c>
      <c r="M14">
        <v>124</v>
      </c>
      <c r="N14">
        <v>77</v>
      </c>
      <c r="O14">
        <v>44</v>
      </c>
      <c r="P14">
        <v>83</v>
      </c>
      <c r="Q14">
        <v>103</v>
      </c>
      <c r="R14">
        <v>64</v>
      </c>
      <c r="S14">
        <v>48</v>
      </c>
      <c r="T14">
        <v>53</v>
      </c>
      <c r="U14">
        <v>67</v>
      </c>
      <c r="V14">
        <v>57</v>
      </c>
      <c r="W14">
        <v>88</v>
      </c>
      <c r="X14">
        <v>51</v>
      </c>
      <c r="Y14">
        <v>65</v>
      </c>
      <c r="Z14">
        <v>63</v>
      </c>
      <c r="AA14">
        <v>132</v>
      </c>
      <c r="AB14">
        <v>96</v>
      </c>
      <c r="AC14">
        <v>310</v>
      </c>
      <c r="AD14">
        <v>69</v>
      </c>
      <c r="AE14">
        <v>227</v>
      </c>
      <c r="AF14">
        <v>187</v>
      </c>
    </row>
    <row r="15" spans="1:32" x14ac:dyDescent="0.3">
      <c r="A15">
        <v>2026</v>
      </c>
      <c r="B15">
        <v>4</v>
      </c>
      <c r="C15" t="s">
        <v>38</v>
      </c>
      <c r="D15" t="s">
        <v>32</v>
      </c>
      <c r="E15">
        <v>64</v>
      </c>
      <c r="F15">
        <v>0.43</v>
      </c>
      <c r="G15">
        <f t="shared" si="0"/>
        <v>1.25</v>
      </c>
      <c r="H15">
        <v>80</v>
      </c>
      <c r="I15">
        <v>22.05</v>
      </c>
      <c r="J15">
        <v>73</v>
      </c>
      <c r="K15">
        <v>56</v>
      </c>
      <c r="L15">
        <v>40</v>
      </c>
      <c r="M15">
        <v>105</v>
      </c>
      <c r="N15">
        <v>60</v>
      </c>
      <c r="O15">
        <v>59</v>
      </c>
      <c r="P15">
        <v>101</v>
      </c>
      <c r="Q15">
        <v>127</v>
      </c>
      <c r="R15">
        <v>150</v>
      </c>
      <c r="S15">
        <v>89</v>
      </c>
      <c r="T15">
        <v>70</v>
      </c>
      <c r="U15">
        <v>59</v>
      </c>
      <c r="V15">
        <v>63</v>
      </c>
      <c r="W15">
        <v>235</v>
      </c>
      <c r="X15">
        <v>105</v>
      </c>
      <c r="Y15">
        <v>690</v>
      </c>
      <c r="Z15">
        <v>45</v>
      </c>
      <c r="AA15">
        <v>336</v>
      </c>
      <c r="AB15">
        <v>176</v>
      </c>
      <c r="AC15">
        <v>312</v>
      </c>
      <c r="AD15">
        <v>56</v>
      </c>
      <c r="AE15">
        <v>35</v>
      </c>
      <c r="AF15">
        <v>141</v>
      </c>
    </row>
    <row r="16" spans="1:32" x14ac:dyDescent="0.3">
      <c r="A16">
        <v>2026</v>
      </c>
      <c r="B16">
        <v>4</v>
      </c>
      <c r="C16" t="s">
        <v>38</v>
      </c>
      <c r="D16" t="s">
        <v>34</v>
      </c>
      <c r="E16">
        <v>48</v>
      </c>
      <c r="F16">
        <v>0.34</v>
      </c>
      <c r="G16">
        <f t="shared" si="0"/>
        <v>1.25</v>
      </c>
      <c r="H16">
        <v>60</v>
      </c>
      <c r="I16">
        <v>55.65</v>
      </c>
      <c r="J16">
        <v>76</v>
      </c>
      <c r="K16">
        <v>97</v>
      </c>
      <c r="L16">
        <v>100</v>
      </c>
      <c r="M16">
        <v>74</v>
      </c>
      <c r="N16">
        <v>88</v>
      </c>
      <c r="O16">
        <v>93</v>
      </c>
      <c r="P16">
        <v>76</v>
      </c>
      <c r="Q16">
        <v>124</v>
      </c>
      <c r="R16">
        <v>91</v>
      </c>
      <c r="S16">
        <v>90</v>
      </c>
      <c r="T16">
        <v>38</v>
      </c>
      <c r="U16">
        <v>43</v>
      </c>
      <c r="V16">
        <v>18</v>
      </c>
      <c r="W16">
        <v>130</v>
      </c>
      <c r="X16">
        <v>46</v>
      </c>
      <c r="Y16">
        <v>395</v>
      </c>
      <c r="Z16">
        <v>188</v>
      </c>
      <c r="AA16">
        <v>126</v>
      </c>
      <c r="AB16">
        <v>69</v>
      </c>
      <c r="AC16">
        <v>30</v>
      </c>
      <c r="AD16">
        <v>93</v>
      </c>
      <c r="AE16">
        <v>86</v>
      </c>
      <c r="AF16">
        <v>186</v>
      </c>
    </row>
    <row r="17" spans="1:32" x14ac:dyDescent="0.3">
      <c r="A17">
        <v>2026</v>
      </c>
      <c r="B17">
        <v>4</v>
      </c>
      <c r="C17" t="s">
        <v>38</v>
      </c>
      <c r="D17" t="s">
        <v>33</v>
      </c>
      <c r="E17">
        <v>70</v>
      </c>
      <c r="F17">
        <v>0.36</v>
      </c>
      <c r="G17">
        <f t="shared" si="0"/>
        <v>1.25</v>
      </c>
      <c r="H17">
        <v>87.5</v>
      </c>
      <c r="I17">
        <v>51.45</v>
      </c>
      <c r="J17">
        <v>47</v>
      </c>
      <c r="K17">
        <v>107</v>
      </c>
      <c r="L17">
        <v>62</v>
      </c>
      <c r="M17">
        <v>85</v>
      </c>
      <c r="N17">
        <v>46</v>
      </c>
      <c r="O17">
        <v>47</v>
      </c>
      <c r="P17">
        <v>68</v>
      </c>
      <c r="Q17">
        <v>116</v>
      </c>
      <c r="R17">
        <v>52</v>
      </c>
      <c r="S17">
        <v>58</v>
      </c>
      <c r="T17">
        <v>65</v>
      </c>
      <c r="U17">
        <v>58</v>
      </c>
      <c r="V17">
        <v>102</v>
      </c>
      <c r="W17">
        <v>87</v>
      </c>
      <c r="X17">
        <v>63</v>
      </c>
      <c r="Y17">
        <v>485</v>
      </c>
      <c r="Z17">
        <v>109</v>
      </c>
      <c r="AA17">
        <v>56</v>
      </c>
      <c r="AB17">
        <v>83</v>
      </c>
      <c r="AC17">
        <v>676</v>
      </c>
      <c r="AD17">
        <v>63</v>
      </c>
      <c r="AE17">
        <v>206</v>
      </c>
      <c r="AF17">
        <v>79</v>
      </c>
    </row>
    <row r="18" spans="1:32" x14ac:dyDescent="0.3">
      <c r="A18">
        <v>2026</v>
      </c>
      <c r="B18">
        <v>5</v>
      </c>
      <c r="C18" t="s">
        <v>39</v>
      </c>
      <c r="D18" t="s">
        <v>32</v>
      </c>
      <c r="E18">
        <v>33</v>
      </c>
      <c r="F18">
        <v>0.66</v>
      </c>
      <c r="G18">
        <f t="shared" si="0"/>
        <v>1.25</v>
      </c>
      <c r="H18">
        <v>41.25</v>
      </c>
      <c r="I18">
        <v>25.2</v>
      </c>
      <c r="J18">
        <v>43</v>
      </c>
      <c r="K18">
        <v>77</v>
      </c>
      <c r="L18">
        <v>96</v>
      </c>
      <c r="M18">
        <v>104</v>
      </c>
      <c r="N18">
        <v>59</v>
      </c>
      <c r="O18">
        <v>99</v>
      </c>
      <c r="P18">
        <v>129</v>
      </c>
      <c r="Q18">
        <v>88</v>
      </c>
      <c r="R18">
        <v>60</v>
      </c>
      <c r="S18">
        <v>86</v>
      </c>
      <c r="T18">
        <v>37</v>
      </c>
      <c r="U18">
        <v>95</v>
      </c>
      <c r="V18">
        <v>92</v>
      </c>
      <c r="W18">
        <v>85</v>
      </c>
      <c r="X18">
        <v>122</v>
      </c>
      <c r="Y18">
        <v>285</v>
      </c>
      <c r="Z18">
        <v>115</v>
      </c>
      <c r="AA18">
        <v>397</v>
      </c>
      <c r="AB18">
        <v>100</v>
      </c>
      <c r="AC18">
        <v>46</v>
      </c>
      <c r="AD18">
        <v>34</v>
      </c>
      <c r="AE18">
        <v>243</v>
      </c>
      <c r="AF18">
        <v>54</v>
      </c>
    </row>
    <row r="19" spans="1:32" x14ac:dyDescent="0.3">
      <c r="A19">
        <v>2026</v>
      </c>
      <c r="B19">
        <v>5</v>
      </c>
      <c r="C19" t="s">
        <v>39</v>
      </c>
      <c r="D19" t="s">
        <v>34</v>
      </c>
      <c r="E19">
        <v>48</v>
      </c>
      <c r="F19">
        <v>0.51</v>
      </c>
      <c r="G19">
        <f t="shared" si="0"/>
        <v>1.25</v>
      </c>
      <c r="H19">
        <v>60</v>
      </c>
      <c r="I19">
        <v>39.9</v>
      </c>
      <c r="J19">
        <v>81</v>
      </c>
      <c r="K19">
        <v>62</v>
      </c>
      <c r="L19">
        <v>60</v>
      </c>
      <c r="M19">
        <v>50</v>
      </c>
      <c r="N19">
        <v>90</v>
      </c>
      <c r="O19">
        <v>64</v>
      </c>
      <c r="P19">
        <v>83</v>
      </c>
      <c r="Q19">
        <v>80</v>
      </c>
      <c r="R19">
        <v>104</v>
      </c>
      <c r="S19">
        <v>86</v>
      </c>
      <c r="T19">
        <v>29</v>
      </c>
      <c r="U19">
        <v>66</v>
      </c>
      <c r="V19">
        <v>31</v>
      </c>
      <c r="W19">
        <v>50</v>
      </c>
      <c r="X19">
        <v>360</v>
      </c>
      <c r="Y19">
        <v>102</v>
      </c>
      <c r="Z19">
        <v>339</v>
      </c>
      <c r="AA19">
        <v>186</v>
      </c>
      <c r="AB19">
        <v>27</v>
      </c>
      <c r="AC19">
        <v>100</v>
      </c>
      <c r="AD19">
        <v>16</v>
      </c>
      <c r="AE19">
        <v>40</v>
      </c>
      <c r="AF19">
        <v>19</v>
      </c>
    </row>
    <row r="20" spans="1:32" x14ac:dyDescent="0.3">
      <c r="A20">
        <v>2026</v>
      </c>
      <c r="B20">
        <v>5</v>
      </c>
      <c r="C20" t="s">
        <v>39</v>
      </c>
      <c r="D20" t="s">
        <v>32</v>
      </c>
      <c r="E20">
        <v>66</v>
      </c>
      <c r="F20">
        <v>0.52</v>
      </c>
      <c r="G20">
        <f t="shared" si="0"/>
        <v>1.25</v>
      </c>
      <c r="H20">
        <v>82.5</v>
      </c>
      <c r="I20">
        <v>46.2</v>
      </c>
      <c r="J20">
        <v>72</v>
      </c>
      <c r="K20">
        <v>85</v>
      </c>
      <c r="L20">
        <v>99</v>
      </c>
      <c r="M20">
        <v>78</v>
      </c>
      <c r="N20">
        <v>92</v>
      </c>
      <c r="O20">
        <v>63</v>
      </c>
      <c r="P20">
        <v>54</v>
      </c>
      <c r="Q20">
        <v>89</v>
      </c>
      <c r="R20">
        <v>70</v>
      </c>
      <c r="S20">
        <v>101</v>
      </c>
      <c r="T20">
        <v>54</v>
      </c>
      <c r="U20">
        <v>81</v>
      </c>
      <c r="V20">
        <v>21</v>
      </c>
      <c r="W20">
        <v>189</v>
      </c>
      <c r="X20">
        <v>324</v>
      </c>
      <c r="Y20">
        <v>512</v>
      </c>
      <c r="Z20">
        <v>44</v>
      </c>
      <c r="AA20">
        <v>139</v>
      </c>
      <c r="AB20">
        <v>143</v>
      </c>
      <c r="AC20">
        <v>86</v>
      </c>
      <c r="AD20">
        <v>56</v>
      </c>
      <c r="AE20">
        <v>149</v>
      </c>
      <c r="AF20">
        <v>53</v>
      </c>
    </row>
    <row r="21" spans="1:32" x14ac:dyDescent="0.3">
      <c r="A21">
        <v>2026</v>
      </c>
      <c r="B21">
        <v>5</v>
      </c>
      <c r="C21" t="s">
        <v>39</v>
      </c>
      <c r="D21" t="s">
        <v>32</v>
      </c>
      <c r="E21">
        <v>45</v>
      </c>
      <c r="F21">
        <v>0.7</v>
      </c>
      <c r="G21">
        <f t="shared" si="0"/>
        <v>1.25</v>
      </c>
      <c r="H21">
        <v>56.25</v>
      </c>
      <c r="I21">
        <v>49.35</v>
      </c>
      <c r="J21">
        <v>64</v>
      </c>
      <c r="K21">
        <v>40</v>
      </c>
      <c r="L21">
        <v>88</v>
      </c>
      <c r="M21">
        <v>120</v>
      </c>
      <c r="N21">
        <v>112</v>
      </c>
      <c r="O21">
        <v>47</v>
      </c>
      <c r="P21">
        <v>55</v>
      </c>
      <c r="Q21">
        <v>45</v>
      </c>
      <c r="R21">
        <v>53</v>
      </c>
      <c r="S21">
        <v>86</v>
      </c>
      <c r="T21">
        <v>41</v>
      </c>
      <c r="U21">
        <v>45</v>
      </c>
      <c r="V21">
        <v>76</v>
      </c>
      <c r="W21">
        <v>374</v>
      </c>
      <c r="X21">
        <v>96</v>
      </c>
      <c r="Y21">
        <v>220</v>
      </c>
      <c r="Z21">
        <v>198</v>
      </c>
      <c r="AA21">
        <v>219</v>
      </c>
      <c r="AB21">
        <v>130</v>
      </c>
      <c r="AC21">
        <v>432</v>
      </c>
      <c r="AD21">
        <v>83</v>
      </c>
      <c r="AE21">
        <v>130</v>
      </c>
      <c r="AF21">
        <v>120</v>
      </c>
    </row>
    <row r="22" spans="1:32" x14ac:dyDescent="0.3">
      <c r="A22">
        <v>2026</v>
      </c>
      <c r="B22">
        <v>6</v>
      </c>
      <c r="C22" t="s">
        <v>40</v>
      </c>
      <c r="D22" t="s">
        <v>36</v>
      </c>
      <c r="E22">
        <v>86</v>
      </c>
      <c r="F22">
        <v>0.52</v>
      </c>
      <c r="G22">
        <f t="shared" si="0"/>
        <v>1.25</v>
      </c>
      <c r="H22">
        <v>107.5</v>
      </c>
      <c r="I22">
        <v>24.15</v>
      </c>
      <c r="J22">
        <v>28</v>
      </c>
      <c r="K22">
        <v>50</v>
      </c>
      <c r="L22">
        <v>105</v>
      </c>
      <c r="M22">
        <v>117</v>
      </c>
      <c r="N22">
        <v>108</v>
      </c>
      <c r="O22">
        <v>44</v>
      </c>
      <c r="P22">
        <v>76</v>
      </c>
      <c r="Q22">
        <v>87</v>
      </c>
      <c r="R22">
        <v>53</v>
      </c>
      <c r="S22">
        <v>97</v>
      </c>
      <c r="T22">
        <v>39</v>
      </c>
      <c r="U22">
        <v>67</v>
      </c>
      <c r="V22">
        <v>106</v>
      </c>
      <c r="W22">
        <v>28</v>
      </c>
      <c r="X22">
        <v>147</v>
      </c>
      <c r="Y22">
        <v>265</v>
      </c>
      <c r="Z22">
        <v>59</v>
      </c>
      <c r="AA22">
        <v>54</v>
      </c>
      <c r="AB22">
        <v>98</v>
      </c>
      <c r="AC22">
        <v>212</v>
      </c>
      <c r="AD22">
        <v>35</v>
      </c>
      <c r="AE22">
        <v>39</v>
      </c>
      <c r="AF22">
        <v>23</v>
      </c>
    </row>
    <row r="23" spans="1:32" x14ac:dyDescent="0.3">
      <c r="A23">
        <v>2026</v>
      </c>
      <c r="B23">
        <v>6</v>
      </c>
      <c r="C23" t="s">
        <v>40</v>
      </c>
      <c r="D23" t="s">
        <v>36</v>
      </c>
      <c r="E23">
        <v>74</v>
      </c>
      <c r="F23">
        <v>0.51</v>
      </c>
      <c r="G23">
        <f t="shared" si="0"/>
        <v>1.25</v>
      </c>
      <c r="H23">
        <v>92.5</v>
      </c>
      <c r="I23">
        <v>51.45</v>
      </c>
      <c r="J23">
        <v>79</v>
      </c>
      <c r="K23">
        <v>51</v>
      </c>
      <c r="L23">
        <v>88</v>
      </c>
      <c r="M23">
        <v>104</v>
      </c>
      <c r="N23">
        <v>78</v>
      </c>
      <c r="O23">
        <v>105</v>
      </c>
      <c r="P23">
        <v>128</v>
      </c>
      <c r="Q23">
        <v>54</v>
      </c>
      <c r="R23">
        <v>95</v>
      </c>
      <c r="S23">
        <v>72</v>
      </c>
      <c r="T23">
        <v>46</v>
      </c>
      <c r="U23">
        <v>71</v>
      </c>
      <c r="V23">
        <v>117</v>
      </c>
      <c r="W23">
        <v>85</v>
      </c>
      <c r="X23">
        <v>106</v>
      </c>
      <c r="Y23">
        <v>72</v>
      </c>
      <c r="Z23">
        <v>136</v>
      </c>
      <c r="AA23">
        <v>393</v>
      </c>
      <c r="AB23">
        <v>23</v>
      </c>
      <c r="AC23">
        <v>352</v>
      </c>
      <c r="AD23">
        <v>38</v>
      </c>
      <c r="AE23">
        <v>157</v>
      </c>
      <c r="AF23">
        <v>83</v>
      </c>
    </row>
    <row r="24" spans="1:32" x14ac:dyDescent="0.3">
      <c r="A24">
        <v>2026</v>
      </c>
      <c r="B24">
        <v>6</v>
      </c>
      <c r="C24" t="s">
        <v>40</v>
      </c>
      <c r="D24" t="s">
        <v>32</v>
      </c>
      <c r="E24">
        <v>46</v>
      </c>
      <c r="F24">
        <v>0.37</v>
      </c>
      <c r="G24">
        <f t="shared" si="0"/>
        <v>1.25</v>
      </c>
      <c r="H24">
        <v>57.5</v>
      </c>
      <c r="I24">
        <v>12.6</v>
      </c>
      <c r="J24">
        <v>60</v>
      </c>
      <c r="K24">
        <v>103</v>
      </c>
      <c r="L24">
        <v>72</v>
      </c>
      <c r="M24">
        <v>60</v>
      </c>
      <c r="N24">
        <v>61</v>
      </c>
      <c r="O24">
        <v>50</v>
      </c>
      <c r="P24">
        <v>71</v>
      </c>
      <c r="Q24">
        <v>114</v>
      </c>
      <c r="R24">
        <v>88</v>
      </c>
      <c r="S24">
        <v>86</v>
      </c>
      <c r="T24">
        <v>30</v>
      </c>
      <c r="U24">
        <v>38</v>
      </c>
      <c r="V24">
        <v>27</v>
      </c>
      <c r="W24">
        <v>312</v>
      </c>
      <c r="X24">
        <v>89</v>
      </c>
      <c r="Y24">
        <v>470</v>
      </c>
      <c r="Z24">
        <v>132</v>
      </c>
      <c r="AA24">
        <v>308</v>
      </c>
      <c r="AB24">
        <v>40</v>
      </c>
      <c r="AC24">
        <v>386</v>
      </c>
      <c r="AD24">
        <v>242</v>
      </c>
      <c r="AE24">
        <v>64</v>
      </c>
      <c r="AF24">
        <v>25</v>
      </c>
    </row>
    <row r="25" spans="1:32" x14ac:dyDescent="0.3">
      <c r="A25">
        <v>2026</v>
      </c>
      <c r="B25">
        <v>6</v>
      </c>
      <c r="C25" t="s">
        <v>40</v>
      </c>
      <c r="D25" t="s">
        <v>33</v>
      </c>
      <c r="E25">
        <v>30</v>
      </c>
      <c r="F25">
        <v>0.57999999999999996</v>
      </c>
      <c r="G25">
        <f t="shared" si="0"/>
        <v>1.25</v>
      </c>
      <c r="H25">
        <v>37.5</v>
      </c>
      <c r="I25">
        <v>12.6</v>
      </c>
      <c r="J25">
        <v>70</v>
      </c>
      <c r="K25">
        <v>39</v>
      </c>
      <c r="L25">
        <v>40</v>
      </c>
      <c r="M25">
        <v>140</v>
      </c>
      <c r="N25">
        <v>49</v>
      </c>
      <c r="O25">
        <v>47</v>
      </c>
      <c r="P25">
        <v>115</v>
      </c>
      <c r="Q25">
        <v>50</v>
      </c>
      <c r="R25">
        <v>55</v>
      </c>
      <c r="S25">
        <v>39</v>
      </c>
      <c r="T25">
        <v>26</v>
      </c>
      <c r="U25">
        <v>97</v>
      </c>
      <c r="V25">
        <v>70</v>
      </c>
      <c r="W25">
        <v>354</v>
      </c>
      <c r="X25">
        <v>222</v>
      </c>
      <c r="Y25">
        <v>562</v>
      </c>
      <c r="Z25">
        <v>337</v>
      </c>
      <c r="AA25">
        <v>101</v>
      </c>
      <c r="AB25">
        <v>35</v>
      </c>
      <c r="AC25">
        <v>194</v>
      </c>
      <c r="AD25">
        <v>21</v>
      </c>
      <c r="AE25">
        <v>119</v>
      </c>
      <c r="AF25">
        <v>8</v>
      </c>
    </row>
    <row r="26" spans="1:32" x14ac:dyDescent="0.3">
      <c r="A26">
        <v>2026</v>
      </c>
      <c r="B26">
        <v>7</v>
      </c>
      <c r="C26" t="s">
        <v>41</v>
      </c>
      <c r="D26" t="s">
        <v>34</v>
      </c>
      <c r="E26">
        <v>102</v>
      </c>
      <c r="F26">
        <v>0.76</v>
      </c>
      <c r="G26">
        <f t="shared" si="0"/>
        <v>1.25</v>
      </c>
      <c r="H26">
        <v>127.5</v>
      </c>
      <c r="I26">
        <v>28.35</v>
      </c>
      <c r="J26">
        <v>39</v>
      </c>
      <c r="K26">
        <v>79</v>
      </c>
      <c r="L26">
        <v>71</v>
      </c>
      <c r="M26">
        <v>131</v>
      </c>
      <c r="N26">
        <v>101</v>
      </c>
      <c r="O26">
        <v>128</v>
      </c>
      <c r="P26">
        <v>46</v>
      </c>
      <c r="Q26">
        <v>101</v>
      </c>
      <c r="R26">
        <v>75</v>
      </c>
      <c r="S26">
        <v>87</v>
      </c>
      <c r="T26">
        <v>41</v>
      </c>
      <c r="U26">
        <v>73</v>
      </c>
      <c r="V26">
        <v>120</v>
      </c>
      <c r="W26">
        <v>206</v>
      </c>
      <c r="X26">
        <v>144</v>
      </c>
      <c r="Y26">
        <v>195</v>
      </c>
      <c r="Z26">
        <v>39</v>
      </c>
      <c r="AA26">
        <v>76</v>
      </c>
      <c r="AB26">
        <v>57</v>
      </c>
      <c r="AC26">
        <v>188</v>
      </c>
      <c r="AD26">
        <v>364</v>
      </c>
      <c r="AE26">
        <v>21</v>
      </c>
      <c r="AF26">
        <v>118</v>
      </c>
    </row>
    <row r="27" spans="1:32" x14ac:dyDescent="0.3">
      <c r="A27">
        <v>2026</v>
      </c>
      <c r="B27">
        <v>7</v>
      </c>
      <c r="C27" t="s">
        <v>41</v>
      </c>
      <c r="D27" t="s">
        <v>34</v>
      </c>
      <c r="E27">
        <v>102</v>
      </c>
      <c r="F27">
        <v>0.6</v>
      </c>
      <c r="G27">
        <f t="shared" si="0"/>
        <v>1.0294117647058822</v>
      </c>
      <c r="H27">
        <v>105</v>
      </c>
      <c r="I27">
        <v>44.1</v>
      </c>
      <c r="J27">
        <v>66</v>
      </c>
      <c r="K27">
        <v>75</v>
      </c>
      <c r="L27">
        <v>88</v>
      </c>
      <c r="M27">
        <v>77</v>
      </c>
      <c r="N27">
        <v>100</v>
      </c>
      <c r="O27">
        <v>97</v>
      </c>
      <c r="P27">
        <v>79</v>
      </c>
      <c r="Q27">
        <v>91</v>
      </c>
      <c r="R27">
        <v>124</v>
      </c>
      <c r="S27">
        <v>94</v>
      </c>
      <c r="T27">
        <v>49</v>
      </c>
      <c r="U27">
        <v>73</v>
      </c>
      <c r="V27">
        <v>25</v>
      </c>
      <c r="W27">
        <v>202</v>
      </c>
      <c r="X27">
        <v>76</v>
      </c>
      <c r="Y27">
        <v>395</v>
      </c>
      <c r="Z27">
        <v>10</v>
      </c>
      <c r="AA27">
        <v>53</v>
      </c>
      <c r="AB27">
        <v>119</v>
      </c>
      <c r="AC27">
        <v>240</v>
      </c>
      <c r="AD27">
        <v>282</v>
      </c>
      <c r="AE27">
        <v>116</v>
      </c>
      <c r="AF27">
        <v>68</v>
      </c>
    </row>
    <row r="28" spans="1:32" x14ac:dyDescent="0.3">
      <c r="A28">
        <v>2026</v>
      </c>
      <c r="B28">
        <v>7</v>
      </c>
      <c r="C28" t="s">
        <v>41</v>
      </c>
      <c r="D28" t="s">
        <v>36</v>
      </c>
      <c r="E28">
        <v>102</v>
      </c>
      <c r="F28">
        <v>0.44</v>
      </c>
      <c r="G28">
        <f t="shared" si="0"/>
        <v>0.66176470588235292</v>
      </c>
      <c r="H28">
        <v>67.5</v>
      </c>
      <c r="I28">
        <v>56.7</v>
      </c>
      <c r="J28">
        <v>37</v>
      </c>
      <c r="K28">
        <v>86</v>
      </c>
      <c r="L28">
        <v>101</v>
      </c>
      <c r="M28">
        <v>113</v>
      </c>
      <c r="N28">
        <v>55</v>
      </c>
      <c r="O28">
        <v>92</v>
      </c>
      <c r="P28">
        <v>134</v>
      </c>
      <c r="Q28">
        <v>74</v>
      </c>
      <c r="R28">
        <v>133</v>
      </c>
      <c r="S28">
        <v>74</v>
      </c>
      <c r="T28">
        <v>68</v>
      </c>
      <c r="U28">
        <v>96</v>
      </c>
      <c r="V28">
        <v>125</v>
      </c>
      <c r="W28">
        <v>319</v>
      </c>
      <c r="X28">
        <v>80</v>
      </c>
      <c r="Y28">
        <v>172</v>
      </c>
      <c r="Z28">
        <v>108</v>
      </c>
      <c r="AA28">
        <v>122</v>
      </c>
      <c r="AB28">
        <v>86</v>
      </c>
      <c r="AC28">
        <v>152</v>
      </c>
      <c r="AD28">
        <v>25</v>
      </c>
      <c r="AE28">
        <v>220</v>
      </c>
      <c r="AF28">
        <v>165</v>
      </c>
    </row>
    <row r="29" spans="1:32" x14ac:dyDescent="0.3">
      <c r="A29">
        <v>2026</v>
      </c>
      <c r="B29">
        <v>7</v>
      </c>
      <c r="C29" t="s">
        <v>41</v>
      </c>
      <c r="D29" t="s">
        <v>36</v>
      </c>
      <c r="E29">
        <v>102</v>
      </c>
      <c r="F29">
        <v>0.79</v>
      </c>
      <c r="G29">
        <f t="shared" si="0"/>
        <v>1.2254901960784315</v>
      </c>
      <c r="H29">
        <v>125</v>
      </c>
      <c r="I29">
        <v>42</v>
      </c>
      <c r="J29">
        <v>61</v>
      </c>
      <c r="K29">
        <v>112</v>
      </c>
      <c r="L29">
        <v>94</v>
      </c>
      <c r="M29">
        <v>104</v>
      </c>
      <c r="N29">
        <v>52</v>
      </c>
      <c r="O29">
        <v>122</v>
      </c>
      <c r="P29">
        <v>112</v>
      </c>
      <c r="Q29">
        <v>62</v>
      </c>
      <c r="R29">
        <v>148</v>
      </c>
      <c r="S29">
        <v>51</v>
      </c>
      <c r="T29">
        <v>35</v>
      </c>
      <c r="U29">
        <v>69</v>
      </c>
      <c r="V29">
        <v>110</v>
      </c>
      <c r="W29">
        <v>182</v>
      </c>
      <c r="X29">
        <v>315</v>
      </c>
      <c r="Y29">
        <v>17</v>
      </c>
      <c r="Z29">
        <v>15</v>
      </c>
      <c r="AA29">
        <v>214</v>
      </c>
      <c r="AB29">
        <v>75</v>
      </c>
      <c r="AC29">
        <v>752</v>
      </c>
      <c r="AD29">
        <v>84</v>
      </c>
      <c r="AE29">
        <v>158</v>
      </c>
      <c r="AF29">
        <v>182</v>
      </c>
    </row>
    <row r="30" spans="1:32" x14ac:dyDescent="0.3">
      <c r="A30">
        <v>2026</v>
      </c>
      <c r="B30">
        <v>8</v>
      </c>
      <c r="C30" t="s">
        <v>42</v>
      </c>
      <c r="D30" t="s">
        <v>34</v>
      </c>
      <c r="E30">
        <v>90</v>
      </c>
      <c r="F30">
        <v>0.55000000000000004</v>
      </c>
      <c r="G30">
        <f t="shared" si="0"/>
        <v>1.25</v>
      </c>
      <c r="H30">
        <v>112.5</v>
      </c>
      <c r="I30">
        <v>55.65</v>
      </c>
      <c r="J30">
        <v>80</v>
      </c>
      <c r="K30">
        <v>89</v>
      </c>
      <c r="L30">
        <v>44</v>
      </c>
      <c r="M30">
        <v>113</v>
      </c>
      <c r="N30">
        <v>44</v>
      </c>
      <c r="O30">
        <v>45</v>
      </c>
      <c r="P30">
        <v>134</v>
      </c>
      <c r="Q30">
        <v>110</v>
      </c>
      <c r="R30">
        <v>126</v>
      </c>
      <c r="S30">
        <v>52</v>
      </c>
      <c r="T30">
        <v>46</v>
      </c>
      <c r="U30">
        <v>88</v>
      </c>
      <c r="V30">
        <v>38</v>
      </c>
      <c r="W30">
        <v>232</v>
      </c>
      <c r="X30">
        <v>40</v>
      </c>
      <c r="Y30">
        <v>192</v>
      </c>
      <c r="Z30">
        <v>30</v>
      </c>
      <c r="AA30">
        <v>241</v>
      </c>
      <c r="AB30">
        <v>263</v>
      </c>
      <c r="AC30">
        <v>452</v>
      </c>
      <c r="AD30">
        <v>95</v>
      </c>
      <c r="AE30">
        <v>62</v>
      </c>
      <c r="AF30">
        <v>53</v>
      </c>
    </row>
    <row r="31" spans="1:32" x14ac:dyDescent="0.3">
      <c r="A31">
        <v>2026</v>
      </c>
      <c r="B31">
        <v>8</v>
      </c>
      <c r="C31" t="s">
        <v>42</v>
      </c>
      <c r="D31" t="s">
        <v>33</v>
      </c>
      <c r="E31">
        <v>98</v>
      </c>
      <c r="F31">
        <v>0.34</v>
      </c>
      <c r="G31">
        <f t="shared" si="0"/>
        <v>1.25</v>
      </c>
      <c r="H31">
        <v>122.5</v>
      </c>
      <c r="I31">
        <v>43.05</v>
      </c>
      <c r="J31">
        <v>58</v>
      </c>
      <c r="K31">
        <v>65</v>
      </c>
      <c r="L31">
        <v>53</v>
      </c>
      <c r="M31">
        <v>134</v>
      </c>
      <c r="N31">
        <v>93</v>
      </c>
      <c r="O31">
        <v>125</v>
      </c>
      <c r="P31">
        <v>125</v>
      </c>
      <c r="Q31">
        <v>63</v>
      </c>
      <c r="R31">
        <v>142</v>
      </c>
      <c r="S31">
        <v>53</v>
      </c>
      <c r="T31">
        <v>56</v>
      </c>
      <c r="U31">
        <v>91</v>
      </c>
      <c r="V31">
        <v>68</v>
      </c>
      <c r="W31">
        <v>85</v>
      </c>
      <c r="X31">
        <v>138</v>
      </c>
      <c r="Y31">
        <v>110</v>
      </c>
      <c r="Z31">
        <v>39</v>
      </c>
      <c r="AA31">
        <v>140</v>
      </c>
      <c r="AB31">
        <v>135</v>
      </c>
      <c r="AC31">
        <v>594</v>
      </c>
      <c r="AD31">
        <v>76</v>
      </c>
      <c r="AE31">
        <v>164</v>
      </c>
      <c r="AF31">
        <v>31</v>
      </c>
    </row>
    <row r="32" spans="1:32" x14ac:dyDescent="0.3">
      <c r="A32">
        <v>2026</v>
      </c>
      <c r="B32">
        <v>8</v>
      </c>
      <c r="C32" t="s">
        <v>42</v>
      </c>
      <c r="D32" t="s">
        <v>34</v>
      </c>
      <c r="E32">
        <v>89</v>
      </c>
      <c r="F32">
        <v>0.3</v>
      </c>
      <c r="G32">
        <f t="shared" si="0"/>
        <v>1.25</v>
      </c>
      <c r="H32">
        <v>111.25</v>
      </c>
      <c r="I32">
        <v>33.6</v>
      </c>
      <c r="J32">
        <v>50</v>
      </c>
      <c r="K32">
        <v>97</v>
      </c>
      <c r="L32">
        <v>97</v>
      </c>
      <c r="M32">
        <v>110</v>
      </c>
      <c r="N32">
        <v>102</v>
      </c>
      <c r="O32">
        <v>122</v>
      </c>
      <c r="P32">
        <v>115</v>
      </c>
      <c r="Q32">
        <v>123</v>
      </c>
      <c r="R32">
        <v>87</v>
      </c>
      <c r="S32">
        <v>50</v>
      </c>
      <c r="T32">
        <v>58</v>
      </c>
      <c r="U32">
        <v>94</v>
      </c>
      <c r="V32">
        <v>112</v>
      </c>
      <c r="W32">
        <v>104</v>
      </c>
      <c r="X32">
        <v>116</v>
      </c>
      <c r="Y32">
        <v>730</v>
      </c>
      <c r="Z32">
        <v>334</v>
      </c>
      <c r="AA32">
        <v>44</v>
      </c>
      <c r="AB32">
        <v>86</v>
      </c>
      <c r="AC32">
        <v>124</v>
      </c>
      <c r="AD32">
        <v>162</v>
      </c>
      <c r="AE32">
        <v>184</v>
      </c>
      <c r="AF32">
        <v>23</v>
      </c>
    </row>
    <row r="33" spans="1:32" x14ac:dyDescent="0.3">
      <c r="A33">
        <v>2026</v>
      </c>
      <c r="B33">
        <v>8</v>
      </c>
      <c r="C33" t="s">
        <v>42</v>
      </c>
      <c r="D33" t="s">
        <v>34</v>
      </c>
      <c r="E33">
        <v>75</v>
      </c>
      <c r="F33">
        <v>0.71</v>
      </c>
      <c r="G33">
        <f t="shared" si="0"/>
        <v>1.25</v>
      </c>
      <c r="H33">
        <v>93.75</v>
      </c>
      <c r="I33">
        <v>32.549999999999997</v>
      </c>
      <c r="J33">
        <v>47</v>
      </c>
      <c r="K33">
        <v>63</v>
      </c>
      <c r="L33">
        <v>80</v>
      </c>
      <c r="M33">
        <v>121</v>
      </c>
      <c r="N33">
        <v>60</v>
      </c>
      <c r="O33">
        <v>124</v>
      </c>
      <c r="P33">
        <v>98</v>
      </c>
      <c r="Q33">
        <v>85</v>
      </c>
      <c r="R33">
        <v>79</v>
      </c>
      <c r="S33">
        <v>38</v>
      </c>
      <c r="T33">
        <v>50</v>
      </c>
      <c r="U33">
        <v>94</v>
      </c>
      <c r="V33">
        <v>102</v>
      </c>
      <c r="W33">
        <v>39</v>
      </c>
      <c r="X33">
        <v>205</v>
      </c>
      <c r="Y33">
        <v>197</v>
      </c>
      <c r="Z33">
        <v>49</v>
      </c>
      <c r="AA33">
        <v>150</v>
      </c>
      <c r="AB33">
        <v>276</v>
      </c>
      <c r="AC33">
        <v>422</v>
      </c>
      <c r="AD33">
        <v>56</v>
      </c>
      <c r="AE33">
        <v>205</v>
      </c>
      <c r="AF33">
        <v>9</v>
      </c>
    </row>
    <row r="34" spans="1:32" x14ac:dyDescent="0.3">
      <c r="A34">
        <v>2026</v>
      </c>
      <c r="B34">
        <v>9</v>
      </c>
      <c r="C34" t="s">
        <v>43</v>
      </c>
      <c r="D34" t="s">
        <v>34</v>
      </c>
      <c r="E34">
        <v>72</v>
      </c>
      <c r="F34">
        <v>0.43</v>
      </c>
      <c r="G34">
        <f t="shared" ref="G34:G65" si="1">H34/E34</f>
        <v>1.25</v>
      </c>
      <c r="H34">
        <v>90</v>
      </c>
      <c r="I34">
        <v>29.4</v>
      </c>
      <c r="J34">
        <v>78</v>
      </c>
      <c r="K34">
        <v>85</v>
      </c>
      <c r="L34">
        <v>78</v>
      </c>
      <c r="M34">
        <v>83</v>
      </c>
      <c r="N34">
        <v>54</v>
      </c>
      <c r="O34">
        <v>86</v>
      </c>
      <c r="P34">
        <v>60</v>
      </c>
      <c r="Q34">
        <v>62</v>
      </c>
      <c r="R34">
        <v>57</v>
      </c>
      <c r="S34">
        <v>71</v>
      </c>
      <c r="T34">
        <v>64</v>
      </c>
      <c r="U34">
        <v>46</v>
      </c>
      <c r="V34">
        <v>96</v>
      </c>
      <c r="W34">
        <v>417</v>
      </c>
      <c r="X34">
        <v>28</v>
      </c>
      <c r="Y34">
        <v>275</v>
      </c>
      <c r="Z34">
        <v>359</v>
      </c>
      <c r="AA34">
        <v>192</v>
      </c>
      <c r="AB34">
        <v>149</v>
      </c>
      <c r="AC34">
        <v>50</v>
      </c>
      <c r="AD34">
        <v>200</v>
      </c>
      <c r="AE34">
        <v>9</v>
      </c>
      <c r="AF34">
        <v>20</v>
      </c>
    </row>
    <row r="35" spans="1:32" x14ac:dyDescent="0.3">
      <c r="A35">
        <v>2026</v>
      </c>
      <c r="B35">
        <v>9</v>
      </c>
      <c r="C35" t="s">
        <v>43</v>
      </c>
      <c r="D35" t="s">
        <v>32</v>
      </c>
      <c r="E35">
        <v>52</v>
      </c>
      <c r="F35">
        <v>0.54</v>
      </c>
      <c r="G35">
        <f t="shared" si="1"/>
        <v>1.25</v>
      </c>
      <c r="H35">
        <v>65</v>
      </c>
      <c r="I35">
        <v>58.8</v>
      </c>
      <c r="J35">
        <v>51</v>
      </c>
      <c r="K35">
        <v>107</v>
      </c>
      <c r="L35">
        <v>66</v>
      </c>
      <c r="M35">
        <v>96</v>
      </c>
      <c r="N35">
        <v>85</v>
      </c>
      <c r="O35">
        <v>78</v>
      </c>
      <c r="P35">
        <v>124</v>
      </c>
      <c r="Q35">
        <v>60</v>
      </c>
      <c r="R35">
        <v>59</v>
      </c>
      <c r="S35">
        <v>79</v>
      </c>
      <c r="T35">
        <v>30</v>
      </c>
      <c r="U35">
        <v>70</v>
      </c>
      <c r="V35">
        <v>36</v>
      </c>
      <c r="W35">
        <v>136</v>
      </c>
      <c r="X35">
        <v>315</v>
      </c>
      <c r="Y35">
        <v>725</v>
      </c>
      <c r="Z35">
        <v>80</v>
      </c>
      <c r="AA35">
        <v>199</v>
      </c>
      <c r="AB35">
        <v>90</v>
      </c>
      <c r="AC35">
        <v>320</v>
      </c>
      <c r="AD35">
        <v>44</v>
      </c>
      <c r="AE35">
        <v>207</v>
      </c>
      <c r="AF35">
        <v>11</v>
      </c>
    </row>
    <row r="36" spans="1:32" x14ac:dyDescent="0.3">
      <c r="A36">
        <v>2026</v>
      </c>
      <c r="B36">
        <v>9</v>
      </c>
      <c r="C36" t="s">
        <v>43</v>
      </c>
      <c r="D36" t="s">
        <v>32</v>
      </c>
      <c r="E36">
        <v>56</v>
      </c>
      <c r="F36">
        <v>0.51</v>
      </c>
      <c r="G36">
        <f t="shared" si="1"/>
        <v>1.25</v>
      </c>
      <c r="H36">
        <v>70</v>
      </c>
      <c r="I36">
        <v>58.8</v>
      </c>
      <c r="J36">
        <v>29</v>
      </c>
      <c r="K36">
        <v>88</v>
      </c>
      <c r="L36">
        <v>39</v>
      </c>
      <c r="M36">
        <v>119</v>
      </c>
      <c r="N36">
        <v>90</v>
      </c>
      <c r="O36">
        <v>70</v>
      </c>
      <c r="P36">
        <v>56</v>
      </c>
      <c r="Q36">
        <v>61</v>
      </c>
      <c r="R36">
        <v>130</v>
      </c>
      <c r="S36">
        <v>43</v>
      </c>
      <c r="T36">
        <v>55</v>
      </c>
      <c r="U36">
        <v>97</v>
      </c>
      <c r="V36">
        <v>96</v>
      </c>
      <c r="W36">
        <v>343</v>
      </c>
      <c r="X36">
        <v>284</v>
      </c>
      <c r="Y36">
        <v>190</v>
      </c>
      <c r="Z36">
        <v>120</v>
      </c>
      <c r="AA36">
        <v>288</v>
      </c>
      <c r="AB36">
        <v>48</v>
      </c>
      <c r="AC36">
        <v>148</v>
      </c>
      <c r="AD36">
        <v>98</v>
      </c>
      <c r="AE36">
        <v>131</v>
      </c>
      <c r="AF36">
        <v>60</v>
      </c>
    </row>
    <row r="37" spans="1:32" x14ac:dyDescent="0.3">
      <c r="A37">
        <v>2026</v>
      </c>
      <c r="B37">
        <v>9</v>
      </c>
      <c r="C37" t="s">
        <v>43</v>
      </c>
      <c r="D37" t="s">
        <v>34</v>
      </c>
      <c r="E37">
        <v>40</v>
      </c>
      <c r="F37">
        <v>0.79</v>
      </c>
      <c r="G37">
        <f t="shared" si="1"/>
        <v>1.25</v>
      </c>
      <c r="H37">
        <v>50</v>
      </c>
      <c r="I37">
        <v>30.45</v>
      </c>
      <c r="J37">
        <v>63</v>
      </c>
      <c r="K37">
        <v>99</v>
      </c>
      <c r="L37">
        <v>35</v>
      </c>
      <c r="M37">
        <v>85</v>
      </c>
      <c r="N37">
        <v>71</v>
      </c>
      <c r="O37">
        <v>67</v>
      </c>
      <c r="P37">
        <v>62</v>
      </c>
      <c r="Q37">
        <v>126</v>
      </c>
      <c r="R37">
        <v>122</v>
      </c>
      <c r="S37">
        <v>50</v>
      </c>
      <c r="T37">
        <v>60</v>
      </c>
      <c r="U37">
        <v>75</v>
      </c>
      <c r="V37">
        <v>52</v>
      </c>
      <c r="W37">
        <v>417</v>
      </c>
      <c r="X37">
        <v>141</v>
      </c>
      <c r="Y37">
        <v>840</v>
      </c>
      <c r="Z37">
        <v>187</v>
      </c>
      <c r="AA37">
        <v>100</v>
      </c>
      <c r="AB37">
        <v>86</v>
      </c>
      <c r="AC37">
        <v>44</v>
      </c>
      <c r="AD37">
        <v>56</v>
      </c>
      <c r="AE37">
        <v>160</v>
      </c>
      <c r="AF37">
        <v>50</v>
      </c>
    </row>
    <row r="38" spans="1:32" x14ac:dyDescent="0.3">
      <c r="A38">
        <v>2026</v>
      </c>
      <c r="B38">
        <v>10</v>
      </c>
      <c r="C38" t="s">
        <v>44</v>
      </c>
      <c r="D38" t="s">
        <v>32</v>
      </c>
      <c r="E38">
        <v>74</v>
      </c>
      <c r="F38">
        <v>0.69</v>
      </c>
      <c r="G38">
        <f t="shared" si="1"/>
        <v>1.25</v>
      </c>
      <c r="H38">
        <v>92.5</v>
      </c>
      <c r="I38">
        <v>29.4</v>
      </c>
      <c r="J38">
        <v>67</v>
      </c>
      <c r="K38">
        <v>99</v>
      </c>
      <c r="L38">
        <v>40</v>
      </c>
      <c r="M38">
        <v>80</v>
      </c>
      <c r="N38">
        <v>93</v>
      </c>
      <c r="O38">
        <v>111</v>
      </c>
      <c r="P38">
        <v>134</v>
      </c>
      <c r="Q38">
        <v>111</v>
      </c>
      <c r="R38">
        <v>126</v>
      </c>
      <c r="S38">
        <v>60</v>
      </c>
      <c r="T38">
        <v>60</v>
      </c>
      <c r="U38">
        <v>56</v>
      </c>
      <c r="V38">
        <v>134</v>
      </c>
      <c r="W38">
        <v>172</v>
      </c>
      <c r="X38">
        <v>54</v>
      </c>
      <c r="Y38">
        <v>937</v>
      </c>
      <c r="Z38">
        <v>98</v>
      </c>
      <c r="AA38">
        <v>211</v>
      </c>
      <c r="AB38">
        <v>215</v>
      </c>
      <c r="AC38">
        <v>44</v>
      </c>
      <c r="AD38">
        <v>68</v>
      </c>
      <c r="AE38">
        <v>21</v>
      </c>
      <c r="AF38">
        <v>25</v>
      </c>
    </row>
    <row r="39" spans="1:32" x14ac:dyDescent="0.3">
      <c r="A39">
        <v>2026</v>
      </c>
      <c r="B39">
        <v>10</v>
      </c>
      <c r="C39" t="s">
        <v>44</v>
      </c>
      <c r="D39" t="s">
        <v>36</v>
      </c>
      <c r="E39">
        <v>22</v>
      </c>
      <c r="F39">
        <v>0.46</v>
      </c>
      <c r="G39">
        <f t="shared" si="1"/>
        <v>1.25</v>
      </c>
      <c r="H39">
        <v>27.5</v>
      </c>
      <c r="I39">
        <v>56.7</v>
      </c>
      <c r="J39">
        <v>36</v>
      </c>
      <c r="K39">
        <v>77</v>
      </c>
      <c r="L39">
        <v>90</v>
      </c>
      <c r="M39">
        <v>90</v>
      </c>
      <c r="N39">
        <v>39</v>
      </c>
      <c r="O39">
        <v>68</v>
      </c>
      <c r="P39">
        <v>90</v>
      </c>
      <c r="Q39">
        <v>106</v>
      </c>
      <c r="R39">
        <v>68</v>
      </c>
      <c r="S39">
        <v>69</v>
      </c>
      <c r="T39">
        <v>53</v>
      </c>
      <c r="U39">
        <v>77</v>
      </c>
      <c r="V39">
        <v>78</v>
      </c>
      <c r="W39">
        <v>159</v>
      </c>
      <c r="X39">
        <v>4</v>
      </c>
      <c r="Y39">
        <v>295</v>
      </c>
      <c r="Z39">
        <v>129</v>
      </c>
      <c r="AA39">
        <v>18</v>
      </c>
      <c r="AB39">
        <v>130</v>
      </c>
      <c r="AC39">
        <v>60</v>
      </c>
      <c r="AD39">
        <v>328</v>
      </c>
      <c r="AE39">
        <v>20</v>
      </c>
      <c r="AF39">
        <v>96</v>
      </c>
    </row>
    <row r="40" spans="1:32" x14ac:dyDescent="0.3">
      <c r="A40">
        <v>2026</v>
      </c>
      <c r="B40">
        <v>10</v>
      </c>
      <c r="C40" t="s">
        <v>44</v>
      </c>
      <c r="D40" t="s">
        <v>36</v>
      </c>
      <c r="E40">
        <v>92</v>
      </c>
      <c r="F40">
        <v>0.61</v>
      </c>
      <c r="G40">
        <f t="shared" si="1"/>
        <v>1.25</v>
      </c>
      <c r="H40">
        <v>115</v>
      </c>
      <c r="I40">
        <v>47.25</v>
      </c>
      <c r="J40">
        <v>48</v>
      </c>
      <c r="K40">
        <v>104</v>
      </c>
      <c r="L40">
        <v>88</v>
      </c>
      <c r="M40">
        <v>135</v>
      </c>
      <c r="N40">
        <v>74</v>
      </c>
      <c r="O40">
        <v>104</v>
      </c>
      <c r="P40">
        <v>57</v>
      </c>
      <c r="Q40">
        <v>112</v>
      </c>
      <c r="R40">
        <v>122</v>
      </c>
      <c r="S40">
        <v>58</v>
      </c>
      <c r="T40">
        <v>43</v>
      </c>
      <c r="U40">
        <v>80</v>
      </c>
      <c r="V40">
        <v>63</v>
      </c>
      <c r="W40">
        <v>128</v>
      </c>
      <c r="X40">
        <v>66</v>
      </c>
      <c r="Y40">
        <v>115</v>
      </c>
      <c r="Z40">
        <v>180</v>
      </c>
      <c r="AA40">
        <v>183</v>
      </c>
      <c r="AB40">
        <v>183</v>
      </c>
      <c r="AC40">
        <v>440</v>
      </c>
      <c r="AD40">
        <v>98</v>
      </c>
      <c r="AE40">
        <v>158</v>
      </c>
      <c r="AF40">
        <v>47</v>
      </c>
    </row>
    <row r="41" spans="1:32" x14ac:dyDescent="0.3">
      <c r="A41">
        <v>2026</v>
      </c>
      <c r="B41">
        <v>10</v>
      </c>
      <c r="C41" t="s">
        <v>44</v>
      </c>
      <c r="D41" t="s">
        <v>34</v>
      </c>
      <c r="E41">
        <v>92</v>
      </c>
      <c r="F41">
        <v>0.77</v>
      </c>
      <c r="G41">
        <f t="shared" si="1"/>
        <v>1.25</v>
      </c>
      <c r="H41">
        <v>115</v>
      </c>
      <c r="I41">
        <v>17.850000000000001</v>
      </c>
      <c r="J41">
        <v>47</v>
      </c>
      <c r="K41">
        <v>112</v>
      </c>
      <c r="L41">
        <v>68</v>
      </c>
      <c r="M41">
        <v>72</v>
      </c>
      <c r="N41">
        <v>41</v>
      </c>
      <c r="O41">
        <v>110</v>
      </c>
      <c r="P41">
        <v>69</v>
      </c>
      <c r="Q41">
        <v>54</v>
      </c>
      <c r="R41">
        <v>79</v>
      </c>
      <c r="S41">
        <v>98</v>
      </c>
      <c r="T41">
        <v>65</v>
      </c>
      <c r="U41">
        <v>46</v>
      </c>
      <c r="V41">
        <v>45</v>
      </c>
      <c r="W41">
        <v>338</v>
      </c>
      <c r="X41">
        <v>264</v>
      </c>
      <c r="Y41">
        <v>577</v>
      </c>
      <c r="Z41">
        <v>43</v>
      </c>
      <c r="AA41">
        <v>52</v>
      </c>
      <c r="AB41">
        <v>63</v>
      </c>
      <c r="AC41">
        <v>288</v>
      </c>
      <c r="AD41">
        <v>44</v>
      </c>
      <c r="AE41">
        <v>130</v>
      </c>
      <c r="AF41">
        <v>105</v>
      </c>
    </row>
    <row r="42" spans="1:32" x14ac:dyDescent="0.3">
      <c r="A42">
        <v>2026</v>
      </c>
      <c r="B42">
        <v>11</v>
      </c>
      <c r="C42" t="s">
        <v>45</v>
      </c>
      <c r="D42" t="s">
        <v>32</v>
      </c>
      <c r="E42">
        <v>87</v>
      </c>
      <c r="F42">
        <v>0.53</v>
      </c>
      <c r="G42">
        <f t="shared" si="1"/>
        <v>1.25</v>
      </c>
      <c r="H42">
        <v>108.75</v>
      </c>
      <c r="I42">
        <v>37.799999999999997</v>
      </c>
      <c r="J42">
        <v>81</v>
      </c>
      <c r="K42">
        <v>39</v>
      </c>
      <c r="L42">
        <v>97</v>
      </c>
      <c r="M42">
        <v>88</v>
      </c>
      <c r="N42">
        <v>105</v>
      </c>
      <c r="O42">
        <v>89</v>
      </c>
      <c r="P42">
        <v>95</v>
      </c>
      <c r="Q42">
        <v>75</v>
      </c>
      <c r="R42">
        <v>124</v>
      </c>
      <c r="S42">
        <v>78</v>
      </c>
      <c r="T42">
        <v>28</v>
      </c>
      <c r="U42">
        <v>44</v>
      </c>
      <c r="V42">
        <v>121</v>
      </c>
      <c r="W42">
        <v>35</v>
      </c>
      <c r="X42">
        <v>66</v>
      </c>
      <c r="Y42">
        <v>415</v>
      </c>
      <c r="Z42">
        <v>72</v>
      </c>
      <c r="AA42">
        <v>115</v>
      </c>
      <c r="AB42">
        <v>83</v>
      </c>
      <c r="AC42">
        <v>408</v>
      </c>
      <c r="AD42">
        <v>303</v>
      </c>
      <c r="AE42">
        <v>136</v>
      </c>
      <c r="AF42">
        <v>12</v>
      </c>
    </row>
    <row r="43" spans="1:32" x14ac:dyDescent="0.3">
      <c r="A43">
        <v>2026</v>
      </c>
      <c r="B43">
        <v>11</v>
      </c>
      <c r="C43" t="s">
        <v>45</v>
      </c>
      <c r="D43" t="s">
        <v>33</v>
      </c>
      <c r="E43">
        <v>40</v>
      </c>
      <c r="F43">
        <v>0.67</v>
      </c>
      <c r="G43">
        <f t="shared" si="1"/>
        <v>1.25</v>
      </c>
      <c r="H43">
        <v>50</v>
      </c>
      <c r="I43">
        <v>57.75</v>
      </c>
      <c r="J43">
        <v>55</v>
      </c>
      <c r="K43">
        <v>45</v>
      </c>
      <c r="L43">
        <v>53</v>
      </c>
      <c r="M43">
        <v>114</v>
      </c>
      <c r="N43">
        <v>107</v>
      </c>
      <c r="O43">
        <v>69</v>
      </c>
      <c r="P43">
        <v>66</v>
      </c>
      <c r="Q43">
        <v>59</v>
      </c>
      <c r="R43">
        <v>81</v>
      </c>
      <c r="S43">
        <v>70</v>
      </c>
      <c r="T43">
        <v>57</v>
      </c>
      <c r="U43">
        <v>67</v>
      </c>
      <c r="V43">
        <v>98</v>
      </c>
      <c r="W43">
        <v>10</v>
      </c>
      <c r="X43">
        <v>234</v>
      </c>
      <c r="Y43">
        <v>697</v>
      </c>
      <c r="Z43">
        <v>182</v>
      </c>
      <c r="AA43">
        <v>278</v>
      </c>
      <c r="AB43">
        <v>123</v>
      </c>
      <c r="AC43">
        <v>114</v>
      </c>
      <c r="AD43">
        <v>92</v>
      </c>
      <c r="AE43">
        <v>152</v>
      </c>
      <c r="AF43">
        <v>84</v>
      </c>
    </row>
    <row r="44" spans="1:32" x14ac:dyDescent="0.3">
      <c r="A44">
        <v>2026</v>
      </c>
      <c r="B44">
        <v>11</v>
      </c>
      <c r="C44" t="s">
        <v>45</v>
      </c>
      <c r="D44" t="s">
        <v>34</v>
      </c>
      <c r="E44">
        <v>71</v>
      </c>
      <c r="F44">
        <v>0.47</v>
      </c>
      <c r="G44">
        <f t="shared" si="1"/>
        <v>1.25</v>
      </c>
      <c r="H44">
        <v>88.75</v>
      </c>
      <c r="I44">
        <v>25.2</v>
      </c>
      <c r="J44">
        <v>57</v>
      </c>
      <c r="K44">
        <v>94</v>
      </c>
      <c r="L44">
        <v>63</v>
      </c>
      <c r="M44">
        <v>143</v>
      </c>
      <c r="N44">
        <v>83</v>
      </c>
      <c r="O44">
        <v>74</v>
      </c>
      <c r="P44">
        <v>47</v>
      </c>
      <c r="Q44">
        <v>58</v>
      </c>
      <c r="R44">
        <v>137</v>
      </c>
      <c r="S44">
        <v>94</v>
      </c>
      <c r="T44">
        <v>37</v>
      </c>
      <c r="U44">
        <v>74</v>
      </c>
      <c r="V44">
        <v>21</v>
      </c>
      <c r="W44">
        <v>97</v>
      </c>
      <c r="X44">
        <v>133</v>
      </c>
      <c r="Y44">
        <v>255</v>
      </c>
      <c r="Z44">
        <v>62</v>
      </c>
      <c r="AA44">
        <v>67</v>
      </c>
      <c r="AB44">
        <v>58</v>
      </c>
      <c r="AC44">
        <v>700</v>
      </c>
      <c r="AD44">
        <v>232</v>
      </c>
      <c r="AE44">
        <v>106</v>
      </c>
      <c r="AF44">
        <v>165</v>
      </c>
    </row>
    <row r="45" spans="1:32" x14ac:dyDescent="0.3">
      <c r="A45">
        <v>2026</v>
      </c>
      <c r="B45">
        <v>11</v>
      </c>
      <c r="C45" t="s">
        <v>45</v>
      </c>
      <c r="D45" t="s">
        <v>34</v>
      </c>
      <c r="E45">
        <v>34</v>
      </c>
      <c r="F45">
        <v>0.73</v>
      </c>
      <c r="G45">
        <f t="shared" si="1"/>
        <v>1.25</v>
      </c>
      <c r="H45">
        <v>42.5</v>
      </c>
      <c r="I45">
        <v>34.65</v>
      </c>
      <c r="J45">
        <v>29</v>
      </c>
      <c r="K45">
        <v>94</v>
      </c>
      <c r="L45">
        <v>36</v>
      </c>
      <c r="M45">
        <v>105</v>
      </c>
      <c r="N45">
        <v>65</v>
      </c>
      <c r="O45">
        <v>68</v>
      </c>
      <c r="P45">
        <v>52</v>
      </c>
      <c r="Q45">
        <v>94</v>
      </c>
      <c r="R45">
        <v>140</v>
      </c>
      <c r="S45">
        <v>71</v>
      </c>
      <c r="T45">
        <v>74</v>
      </c>
      <c r="U45">
        <v>72</v>
      </c>
      <c r="V45">
        <v>60</v>
      </c>
      <c r="W45">
        <v>176</v>
      </c>
      <c r="X45">
        <v>222</v>
      </c>
      <c r="Y45">
        <v>472</v>
      </c>
      <c r="Z45">
        <v>23</v>
      </c>
      <c r="AA45">
        <v>29</v>
      </c>
      <c r="AB45">
        <v>61</v>
      </c>
      <c r="AC45">
        <v>410</v>
      </c>
      <c r="AD45">
        <v>263</v>
      </c>
      <c r="AE45">
        <v>135</v>
      </c>
      <c r="AF45">
        <v>62</v>
      </c>
    </row>
    <row r="46" spans="1:32" x14ac:dyDescent="0.3">
      <c r="A46">
        <v>2026</v>
      </c>
      <c r="B46">
        <v>12</v>
      </c>
      <c r="C46" t="s">
        <v>46</v>
      </c>
      <c r="D46" t="s">
        <v>32</v>
      </c>
      <c r="E46">
        <v>90</v>
      </c>
      <c r="F46">
        <v>0.57999999999999996</v>
      </c>
      <c r="G46">
        <f t="shared" si="1"/>
        <v>1.25</v>
      </c>
      <c r="H46">
        <v>112.5</v>
      </c>
      <c r="I46">
        <v>12.6</v>
      </c>
      <c r="J46">
        <v>61</v>
      </c>
      <c r="K46">
        <v>79</v>
      </c>
      <c r="L46">
        <v>94</v>
      </c>
      <c r="M46">
        <v>77</v>
      </c>
      <c r="N46">
        <v>50</v>
      </c>
      <c r="O46">
        <v>110</v>
      </c>
      <c r="P46">
        <v>106</v>
      </c>
      <c r="Q46">
        <v>119</v>
      </c>
      <c r="R46">
        <v>148</v>
      </c>
      <c r="S46">
        <v>50</v>
      </c>
      <c r="T46">
        <v>53</v>
      </c>
      <c r="U46">
        <v>72</v>
      </c>
      <c r="V46">
        <v>82</v>
      </c>
      <c r="W46">
        <v>283</v>
      </c>
      <c r="X46">
        <v>37</v>
      </c>
      <c r="Y46">
        <v>265</v>
      </c>
      <c r="Z46">
        <v>190</v>
      </c>
      <c r="AA46">
        <v>88</v>
      </c>
      <c r="AB46">
        <v>125</v>
      </c>
      <c r="AC46">
        <v>344</v>
      </c>
      <c r="AD46">
        <v>138</v>
      </c>
      <c r="AE46">
        <v>13</v>
      </c>
      <c r="AF46">
        <v>47</v>
      </c>
    </row>
    <row r="47" spans="1:32" x14ac:dyDescent="0.3">
      <c r="A47">
        <v>2026</v>
      </c>
      <c r="B47">
        <v>12</v>
      </c>
      <c r="C47" t="s">
        <v>46</v>
      </c>
      <c r="D47" t="s">
        <v>36</v>
      </c>
      <c r="E47">
        <v>101</v>
      </c>
      <c r="F47">
        <v>0.59</v>
      </c>
      <c r="G47">
        <f t="shared" si="1"/>
        <v>1.25</v>
      </c>
      <c r="H47">
        <v>126.25</v>
      </c>
      <c r="I47">
        <v>18.899999999999999</v>
      </c>
      <c r="J47">
        <v>57</v>
      </c>
      <c r="K47">
        <v>84</v>
      </c>
      <c r="L47">
        <v>85</v>
      </c>
      <c r="M47">
        <v>138</v>
      </c>
      <c r="N47">
        <v>111</v>
      </c>
      <c r="O47">
        <v>44</v>
      </c>
      <c r="P47">
        <v>133</v>
      </c>
      <c r="Q47">
        <v>120</v>
      </c>
      <c r="R47">
        <v>111</v>
      </c>
      <c r="S47">
        <v>84</v>
      </c>
      <c r="T47">
        <v>74</v>
      </c>
      <c r="U47">
        <v>53</v>
      </c>
      <c r="V47">
        <v>115</v>
      </c>
      <c r="W47">
        <v>235</v>
      </c>
      <c r="X47">
        <v>191</v>
      </c>
      <c r="Y47">
        <v>220</v>
      </c>
      <c r="Z47">
        <v>338</v>
      </c>
      <c r="AA47">
        <v>75</v>
      </c>
      <c r="AB47">
        <v>133</v>
      </c>
      <c r="AC47">
        <v>128</v>
      </c>
      <c r="AD47">
        <v>6</v>
      </c>
      <c r="AE47">
        <v>151</v>
      </c>
      <c r="AF47">
        <v>68</v>
      </c>
    </row>
    <row r="48" spans="1:32" x14ac:dyDescent="0.3">
      <c r="A48">
        <v>2026</v>
      </c>
      <c r="B48">
        <v>12</v>
      </c>
      <c r="C48" t="s">
        <v>46</v>
      </c>
      <c r="D48" t="s">
        <v>34</v>
      </c>
      <c r="E48">
        <v>58</v>
      </c>
      <c r="F48">
        <v>0.3</v>
      </c>
      <c r="G48">
        <f t="shared" si="1"/>
        <v>1.25</v>
      </c>
      <c r="H48">
        <v>72.5</v>
      </c>
      <c r="I48">
        <v>57.75</v>
      </c>
      <c r="J48">
        <v>59</v>
      </c>
      <c r="K48">
        <v>73</v>
      </c>
      <c r="L48">
        <v>96</v>
      </c>
      <c r="M48">
        <v>135</v>
      </c>
      <c r="N48">
        <v>71</v>
      </c>
      <c r="O48">
        <v>116</v>
      </c>
      <c r="P48">
        <v>113</v>
      </c>
      <c r="Q48">
        <v>70</v>
      </c>
      <c r="R48">
        <v>144</v>
      </c>
      <c r="S48">
        <v>86</v>
      </c>
      <c r="T48">
        <v>71</v>
      </c>
      <c r="U48">
        <v>37</v>
      </c>
      <c r="V48">
        <v>97</v>
      </c>
      <c r="W48">
        <v>63</v>
      </c>
      <c r="X48">
        <v>17</v>
      </c>
      <c r="Y48">
        <v>592</v>
      </c>
      <c r="Z48">
        <v>194</v>
      </c>
      <c r="AA48">
        <v>145</v>
      </c>
      <c r="AB48">
        <v>234</v>
      </c>
      <c r="AC48">
        <v>24</v>
      </c>
      <c r="AD48">
        <v>63</v>
      </c>
      <c r="AE48">
        <v>154</v>
      </c>
      <c r="AF48">
        <v>60</v>
      </c>
    </row>
    <row r="49" spans="1:32" x14ac:dyDescent="0.3">
      <c r="A49">
        <v>2026</v>
      </c>
      <c r="B49">
        <v>12</v>
      </c>
      <c r="C49" t="s">
        <v>46</v>
      </c>
      <c r="D49" t="s">
        <v>33</v>
      </c>
      <c r="E49">
        <v>51</v>
      </c>
      <c r="F49">
        <v>0.35</v>
      </c>
      <c r="G49">
        <f t="shared" si="1"/>
        <v>1.25</v>
      </c>
      <c r="H49">
        <v>63.75</v>
      </c>
      <c r="I49">
        <v>17.850000000000001</v>
      </c>
      <c r="J49">
        <v>66</v>
      </c>
      <c r="K49">
        <v>69</v>
      </c>
      <c r="L49">
        <v>48</v>
      </c>
      <c r="M49">
        <v>80</v>
      </c>
      <c r="N49">
        <v>41</v>
      </c>
      <c r="O49">
        <v>126</v>
      </c>
      <c r="P49">
        <v>111</v>
      </c>
      <c r="Q49">
        <v>83</v>
      </c>
      <c r="R49">
        <v>114</v>
      </c>
      <c r="S49">
        <v>94</v>
      </c>
      <c r="T49">
        <v>72</v>
      </c>
      <c r="U49">
        <v>33</v>
      </c>
      <c r="V49">
        <v>66</v>
      </c>
      <c r="W49">
        <v>119</v>
      </c>
      <c r="X49">
        <v>47</v>
      </c>
      <c r="Y49">
        <v>492</v>
      </c>
      <c r="Z49">
        <v>16</v>
      </c>
      <c r="AA49">
        <v>337</v>
      </c>
      <c r="AB49">
        <v>55</v>
      </c>
      <c r="AC49">
        <v>270</v>
      </c>
      <c r="AD49">
        <v>63</v>
      </c>
      <c r="AE49">
        <v>74</v>
      </c>
      <c r="AF49">
        <v>174</v>
      </c>
    </row>
    <row r="50" spans="1:32" x14ac:dyDescent="0.3">
      <c r="A50">
        <v>2025</v>
      </c>
      <c r="B50">
        <v>1</v>
      </c>
      <c r="C50" t="s">
        <v>31</v>
      </c>
      <c r="D50" t="s">
        <v>34</v>
      </c>
      <c r="E50">
        <v>29</v>
      </c>
      <c r="F50">
        <v>0.51</v>
      </c>
      <c r="G50">
        <f t="shared" si="1"/>
        <v>2.8448275862068964</v>
      </c>
      <c r="H50">
        <v>82.5</v>
      </c>
      <c r="I50">
        <v>16.8</v>
      </c>
      <c r="J50">
        <v>68</v>
      </c>
      <c r="K50">
        <v>131</v>
      </c>
      <c r="L50">
        <v>32</v>
      </c>
      <c r="M50">
        <v>120</v>
      </c>
      <c r="N50">
        <v>37</v>
      </c>
      <c r="O50">
        <v>39</v>
      </c>
      <c r="P50">
        <v>66</v>
      </c>
      <c r="Q50">
        <v>50</v>
      </c>
      <c r="R50">
        <v>134</v>
      </c>
      <c r="S50">
        <v>62</v>
      </c>
      <c r="T50">
        <v>94</v>
      </c>
      <c r="U50">
        <v>112</v>
      </c>
      <c r="V50">
        <v>75</v>
      </c>
      <c r="W50">
        <v>352</v>
      </c>
      <c r="X50">
        <v>103</v>
      </c>
      <c r="Y50">
        <v>325</v>
      </c>
      <c r="Z50">
        <v>286</v>
      </c>
      <c r="AA50">
        <v>374</v>
      </c>
      <c r="AB50">
        <v>7</v>
      </c>
      <c r="AC50">
        <v>26</v>
      </c>
      <c r="AD50">
        <v>12</v>
      </c>
      <c r="AE50">
        <v>111</v>
      </c>
      <c r="AF50">
        <v>345</v>
      </c>
    </row>
    <row r="51" spans="1:32" x14ac:dyDescent="0.3">
      <c r="A51">
        <v>2025</v>
      </c>
      <c r="B51">
        <v>1</v>
      </c>
      <c r="C51" t="s">
        <v>31</v>
      </c>
      <c r="D51" t="s">
        <v>34</v>
      </c>
      <c r="E51">
        <v>65</v>
      </c>
      <c r="F51">
        <v>0.4</v>
      </c>
      <c r="G51">
        <f t="shared" si="1"/>
        <v>1.1730769230769231</v>
      </c>
      <c r="H51">
        <v>76.25</v>
      </c>
      <c r="I51">
        <v>27.3</v>
      </c>
      <c r="J51">
        <v>138</v>
      </c>
      <c r="K51">
        <v>37</v>
      </c>
      <c r="L51">
        <v>39</v>
      </c>
      <c r="M51">
        <v>82</v>
      </c>
      <c r="N51">
        <v>51</v>
      </c>
      <c r="O51">
        <v>65</v>
      </c>
      <c r="P51">
        <v>96</v>
      </c>
      <c r="Q51">
        <v>63</v>
      </c>
      <c r="R51">
        <v>62</v>
      </c>
      <c r="S51">
        <v>44</v>
      </c>
      <c r="T51">
        <v>65</v>
      </c>
      <c r="U51">
        <v>54</v>
      </c>
      <c r="V51">
        <v>36</v>
      </c>
      <c r="W51">
        <v>52</v>
      </c>
      <c r="X51">
        <v>358</v>
      </c>
      <c r="Y51">
        <v>454</v>
      </c>
      <c r="Z51">
        <v>33</v>
      </c>
      <c r="AA51">
        <v>354</v>
      </c>
      <c r="AB51">
        <v>225</v>
      </c>
      <c r="AC51">
        <v>30</v>
      </c>
      <c r="AD51">
        <v>23</v>
      </c>
      <c r="AE51">
        <v>382</v>
      </c>
      <c r="AF51">
        <v>68</v>
      </c>
    </row>
    <row r="52" spans="1:32" x14ac:dyDescent="0.3">
      <c r="A52">
        <v>2025</v>
      </c>
      <c r="B52">
        <v>1</v>
      </c>
      <c r="C52" t="s">
        <v>31</v>
      </c>
      <c r="D52" t="s">
        <v>32</v>
      </c>
      <c r="E52">
        <v>36</v>
      </c>
      <c r="F52">
        <v>0.29000000000000004</v>
      </c>
      <c r="G52">
        <f t="shared" si="1"/>
        <v>1.0763888888888888</v>
      </c>
      <c r="H52">
        <v>38.75</v>
      </c>
      <c r="I52">
        <v>25.2</v>
      </c>
      <c r="J52">
        <v>90</v>
      </c>
      <c r="K52">
        <v>103</v>
      </c>
      <c r="L52">
        <v>50</v>
      </c>
      <c r="M52">
        <v>50</v>
      </c>
      <c r="N52">
        <v>76</v>
      </c>
      <c r="O52">
        <v>35</v>
      </c>
      <c r="P52">
        <v>36</v>
      </c>
      <c r="Q52">
        <v>49</v>
      </c>
      <c r="R52">
        <v>54</v>
      </c>
      <c r="S52">
        <v>73</v>
      </c>
      <c r="T52">
        <v>71</v>
      </c>
      <c r="U52">
        <v>77</v>
      </c>
      <c r="V52">
        <v>90</v>
      </c>
      <c r="W52">
        <v>106</v>
      </c>
      <c r="X52">
        <v>216</v>
      </c>
      <c r="Y52">
        <v>420</v>
      </c>
      <c r="Z52">
        <v>45</v>
      </c>
      <c r="AA52">
        <v>197</v>
      </c>
      <c r="AB52">
        <v>139</v>
      </c>
      <c r="AC52">
        <v>73</v>
      </c>
      <c r="AD52">
        <v>232</v>
      </c>
      <c r="AE52">
        <v>165</v>
      </c>
      <c r="AF52">
        <v>178</v>
      </c>
    </row>
    <row r="53" spans="1:32" x14ac:dyDescent="0.3">
      <c r="A53">
        <v>2025</v>
      </c>
      <c r="B53">
        <v>1</v>
      </c>
      <c r="C53" t="s">
        <v>31</v>
      </c>
      <c r="D53" t="s">
        <v>33</v>
      </c>
      <c r="E53">
        <v>51</v>
      </c>
      <c r="F53">
        <v>0.28000000000000003</v>
      </c>
      <c r="G53">
        <f t="shared" si="1"/>
        <v>2.5245098039215685</v>
      </c>
      <c r="H53">
        <v>128.75</v>
      </c>
      <c r="I53">
        <v>10.5</v>
      </c>
      <c r="J53">
        <v>140</v>
      </c>
      <c r="K53">
        <v>57</v>
      </c>
      <c r="L53">
        <v>81</v>
      </c>
      <c r="M53">
        <v>92</v>
      </c>
      <c r="N53">
        <v>91</v>
      </c>
      <c r="O53">
        <v>97</v>
      </c>
      <c r="P53">
        <v>55</v>
      </c>
      <c r="Q53">
        <v>115</v>
      </c>
      <c r="R53">
        <v>59</v>
      </c>
      <c r="S53">
        <v>74</v>
      </c>
      <c r="T53">
        <v>45</v>
      </c>
      <c r="U53">
        <v>81</v>
      </c>
      <c r="V53">
        <v>77</v>
      </c>
      <c r="W53">
        <v>286</v>
      </c>
      <c r="X53">
        <v>90</v>
      </c>
      <c r="Y53">
        <v>191</v>
      </c>
      <c r="Z53">
        <v>246</v>
      </c>
      <c r="AA53">
        <v>237</v>
      </c>
      <c r="AB53">
        <v>146</v>
      </c>
      <c r="AC53">
        <v>210</v>
      </c>
      <c r="AD53">
        <v>119</v>
      </c>
      <c r="AE53">
        <v>98</v>
      </c>
      <c r="AF53">
        <v>189</v>
      </c>
    </row>
    <row r="54" spans="1:32" x14ac:dyDescent="0.3">
      <c r="A54">
        <v>2025</v>
      </c>
      <c r="B54">
        <v>2</v>
      </c>
      <c r="C54" t="s">
        <v>35</v>
      </c>
      <c r="D54" t="s">
        <v>32</v>
      </c>
      <c r="E54">
        <v>27</v>
      </c>
      <c r="F54">
        <v>0.46000000000000008</v>
      </c>
      <c r="G54">
        <f t="shared" si="1"/>
        <v>5.6481481481481479</v>
      </c>
      <c r="H54">
        <v>152.5</v>
      </c>
      <c r="I54">
        <v>48.3</v>
      </c>
      <c r="J54">
        <v>69</v>
      </c>
      <c r="K54">
        <v>117</v>
      </c>
      <c r="L54">
        <v>96</v>
      </c>
      <c r="M54">
        <v>35</v>
      </c>
      <c r="N54">
        <v>67</v>
      </c>
      <c r="O54">
        <v>43</v>
      </c>
      <c r="P54">
        <v>58</v>
      </c>
      <c r="Q54">
        <v>71</v>
      </c>
      <c r="R54">
        <v>84</v>
      </c>
      <c r="S54">
        <v>87</v>
      </c>
      <c r="T54">
        <v>106</v>
      </c>
      <c r="U54">
        <v>60</v>
      </c>
      <c r="V54">
        <v>40</v>
      </c>
      <c r="W54">
        <v>101</v>
      </c>
      <c r="X54">
        <v>39</v>
      </c>
      <c r="Y54">
        <v>40</v>
      </c>
      <c r="Z54">
        <v>13</v>
      </c>
      <c r="AA54">
        <v>18</v>
      </c>
      <c r="AB54">
        <v>152</v>
      </c>
      <c r="AC54">
        <v>62</v>
      </c>
      <c r="AD54">
        <v>122</v>
      </c>
      <c r="AE54">
        <v>134</v>
      </c>
      <c r="AF54">
        <v>10</v>
      </c>
    </row>
    <row r="55" spans="1:32" x14ac:dyDescent="0.3">
      <c r="A55">
        <v>2025</v>
      </c>
      <c r="B55">
        <v>2</v>
      </c>
      <c r="C55" t="s">
        <v>35</v>
      </c>
      <c r="D55" t="s">
        <v>33</v>
      </c>
      <c r="E55">
        <v>94</v>
      </c>
      <c r="F55">
        <v>0.54</v>
      </c>
      <c r="G55">
        <f t="shared" si="1"/>
        <v>0.81117021276595747</v>
      </c>
      <c r="H55">
        <v>76.25</v>
      </c>
      <c r="I55">
        <v>48.3</v>
      </c>
      <c r="J55">
        <v>98</v>
      </c>
      <c r="K55">
        <v>118</v>
      </c>
      <c r="L55">
        <v>70</v>
      </c>
      <c r="M55">
        <v>54</v>
      </c>
      <c r="N55">
        <v>43</v>
      </c>
      <c r="O55">
        <v>49</v>
      </c>
      <c r="P55">
        <v>138</v>
      </c>
      <c r="Q55">
        <v>77</v>
      </c>
      <c r="R55">
        <v>78</v>
      </c>
      <c r="S55">
        <v>89</v>
      </c>
      <c r="T55">
        <v>40</v>
      </c>
      <c r="U55">
        <v>56</v>
      </c>
      <c r="V55">
        <v>82</v>
      </c>
      <c r="W55">
        <v>178</v>
      </c>
      <c r="X55">
        <v>151</v>
      </c>
      <c r="Y55">
        <v>184</v>
      </c>
      <c r="Z55">
        <v>125</v>
      </c>
      <c r="AA55">
        <v>146</v>
      </c>
      <c r="AB55">
        <v>85</v>
      </c>
      <c r="AC55">
        <v>468</v>
      </c>
      <c r="AD55">
        <v>31</v>
      </c>
      <c r="AE55">
        <v>48</v>
      </c>
      <c r="AF55">
        <v>93</v>
      </c>
    </row>
    <row r="56" spans="1:32" x14ac:dyDescent="0.3">
      <c r="A56">
        <v>2025</v>
      </c>
      <c r="B56">
        <v>2</v>
      </c>
      <c r="C56" t="s">
        <v>35</v>
      </c>
      <c r="D56" t="s">
        <v>34</v>
      </c>
      <c r="E56">
        <v>96</v>
      </c>
      <c r="F56">
        <v>0.49</v>
      </c>
      <c r="G56">
        <f t="shared" si="1"/>
        <v>0.52083333333333337</v>
      </c>
      <c r="H56">
        <v>50</v>
      </c>
      <c r="I56">
        <v>32.549999999999997</v>
      </c>
      <c r="J56">
        <v>54</v>
      </c>
      <c r="K56">
        <v>89</v>
      </c>
      <c r="L56">
        <v>79</v>
      </c>
      <c r="M56">
        <v>90</v>
      </c>
      <c r="N56">
        <v>113</v>
      </c>
      <c r="O56">
        <v>114</v>
      </c>
      <c r="P56">
        <v>71</v>
      </c>
      <c r="Q56">
        <v>37</v>
      </c>
      <c r="R56">
        <v>39</v>
      </c>
      <c r="S56">
        <v>108</v>
      </c>
      <c r="T56">
        <v>83</v>
      </c>
      <c r="U56">
        <v>135</v>
      </c>
      <c r="V56">
        <v>97</v>
      </c>
      <c r="W56">
        <v>197</v>
      </c>
      <c r="X56">
        <v>261</v>
      </c>
      <c r="Y56">
        <v>114</v>
      </c>
      <c r="Z56">
        <v>89</v>
      </c>
      <c r="AA56">
        <v>484</v>
      </c>
      <c r="AB56">
        <v>200</v>
      </c>
      <c r="AC56">
        <v>216</v>
      </c>
      <c r="AD56">
        <v>35</v>
      </c>
      <c r="AE56">
        <v>128</v>
      </c>
      <c r="AF56">
        <v>81</v>
      </c>
    </row>
    <row r="57" spans="1:32" x14ac:dyDescent="0.3">
      <c r="A57">
        <v>2025</v>
      </c>
      <c r="B57">
        <v>2</v>
      </c>
      <c r="C57" t="s">
        <v>35</v>
      </c>
      <c r="D57" t="s">
        <v>36</v>
      </c>
      <c r="E57">
        <v>44</v>
      </c>
      <c r="F57">
        <v>0.41000000000000003</v>
      </c>
      <c r="G57">
        <f t="shared" si="1"/>
        <v>1.6761363636363635</v>
      </c>
      <c r="H57">
        <v>73.75</v>
      </c>
      <c r="I57">
        <v>39.9</v>
      </c>
      <c r="J57">
        <v>125</v>
      </c>
      <c r="K57">
        <v>98</v>
      </c>
      <c r="L57">
        <v>123</v>
      </c>
      <c r="M57">
        <v>60</v>
      </c>
      <c r="N57">
        <v>100</v>
      </c>
      <c r="O57">
        <v>45</v>
      </c>
      <c r="P57">
        <v>59</v>
      </c>
      <c r="Q57">
        <v>79</v>
      </c>
      <c r="R57">
        <v>61</v>
      </c>
      <c r="S57">
        <v>65</v>
      </c>
      <c r="T57">
        <v>42</v>
      </c>
      <c r="U57">
        <v>49</v>
      </c>
      <c r="V57">
        <v>55</v>
      </c>
      <c r="W57">
        <v>210</v>
      </c>
      <c r="X57">
        <v>3</v>
      </c>
      <c r="Y57">
        <v>302</v>
      </c>
      <c r="Z57">
        <v>16</v>
      </c>
      <c r="AA57">
        <v>82</v>
      </c>
      <c r="AB57">
        <v>52</v>
      </c>
      <c r="AC57">
        <v>137</v>
      </c>
      <c r="AD57">
        <v>274</v>
      </c>
      <c r="AE57">
        <v>340</v>
      </c>
      <c r="AF57">
        <v>173</v>
      </c>
    </row>
    <row r="58" spans="1:32" x14ac:dyDescent="0.3">
      <c r="A58">
        <v>2025</v>
      </c>
      <c r="B58">
        <v>3</v>
      </c>
      <c r="C58" t="s">
        <v>37</v>
      </c>
      <c r="D58" t="s">
        <v>33</v>
      </c>
      <c r="E58">
        <v>109</v>
      </c>
      <c r="F58">
        <v>0.54</v>
      </c>
      <c r="G58">
        <f t="shared" si="1"/>
        <v>0.98623853211009171</v>
      </c>
      <c r="H58">
        <v>107.5</v>
      </c>
      <c r="I58">
        <v>12.6</v>
      </c>
      <c r="J58">
        <v>42</v>
      </c>
      <c r="K58">
        <v>98</v>
      </c>
      <c r="L58">
        <v>53</v>
      </c>
      <c r="M58">
        <v>47</v>
      </c>
      <c r="N58">
        <v>102</v>
      </c>
      <c r="O58">
        <v>102</v>
      </c>
      <c r="P58">
        <v>84</v>
      </c>
      <c r="Q58">
        <v>108</v>
      </c>
      <c r="R58">
        <v>96</v>
      </c>
      <c r="S58">
        <v>113</v>
      </c>
      <c r="T58">
        <v>87</v>
      </c>
      <c r="U58">
        <v>35</v>
      </c>
      <c r="V58">
        <v>105</v>
      </c>
      <c r="W58">
        <v>68</v>
      </c>
      <c r="X58">
        <v>340</v>
      </c>
      <c r="Y58">
        <v>138</v>
      </c>
      <c r="Z58">
        <v>456</v>
      </c>
      <c r="AA58">
        <v>97</v>
      </c>
      <c r="AB58">
        <v>31</v>
      </c>
      <c r="AC58">
        <v>23</v>
      </c>
      <c r="AD58">
        <v>46</v>
      </c>
      <c r="AE58">
        <v>75</v>
      </c>
      <c r="AF58">
        <v>349</v>
      </c>
    </row>
    <row r="59" spans="1:32" x14ac:dyDescent="0.3">
      <c r="A59">
        <v>2025</v>
      </c>
      <c r="B59">
        <v>3</v>
      </c>
      <c r="C59" t="s">
        <v>37</v>
      </c>
      <c r="D59" t="s">
        <v>36</v>
      </c>
      <c r="E59">
        <v>29</v>
      </c>
      <c r="F59">
        <v>0.48</v>
      </c>
      <c r="G59">
        <f t="shared" si="1"/>
        <v>3.7931034482758621</v>
      </c>
      <c r="H59">
        <v>110</v>
      </c>
      <c r="I59">
        <v>19.95</v>
      </c>
      <c r="J59">
        <v>70</v>
      </c>
      <c r="K59">
        <v>77</v>
      </c>
      <c r="L59">
        <v>97</v>
      </c>
      <c r="M59">
        <v>52</v>
      </c>
      <c r="N59">
        <v>43</v>
      </c>
      <c r="O59">
        <v>141</v>
      </c>
      <c r="P59">
        <v>71</v>
      </c>
      <c r="Q59">
        <v>25</v>
      </c>
      <c r="R59">
        <v>113</v>
      </c>
      <c r="S59">
        <v>80</v>
      </c>
      <c r="T59">
        <v>75</v>
      </c>
      <c r="U59">
        <v>30</v>
      </c>
      <c r="V59">
        <v>66</v>
      </c>
      <c r="W59">
        <v>156</v>
      </c>
      <c r="X59">
        <v>467</v>
      </c>
      <c r="Y59">
        <v>15</v>
      </c>
      <c r="Z59">
        <v>354</v>
      </c>
      <c r="AA59">
        <v>71</v>
      </c>
      <c r="AB59">
        <v>40</v>
      </c>
      <c r="AC59">
        <v>43</v>
      </c>
      <c r="AD59">
        <v>67</v>
      </c>
      <c r="AE59">
        <v>163</v>
      </c>
      <c r="AF59">
        <v>57</v>
      </c>
    </row>
    <row r="60" spans="1:32" x14ac:dyDescent="0.3">
      <c r="A60">
        <v>2025</v>
      </c>
      <c r="B60">
        <v>3</v>
      </c>
      <c r="C60" t="s">
        <v>37</v>
      </c>
      <c r="D60" t="s">
        <v>32</v>
      </c>
      <c r="E60">
        <v>28</v>
      </c>
      <c r="F60">
        <v>0.24999999999999997</v>
      </c>
      <c r="G60">
        <f t="shared" si="1"/>
        <v>5.5357142857142856</v>
      </c>
      <c r="H60">
        <v>155</v>
      </c>
      <c r="I60">
        <v>24.15</v>
      </c>
      <c r="J60">
        <v>86</v>
      </c>
      <c r="K60">
        <v>82</v>
      </c>
      <c r="L60">
        <v>101</v>
      </c>
      <c r="M60">
        <v>68</v>
      </c>
      <c r="N60">
        <v>131</v>
      </c>
      <c r="O60">
        <v>61</v>
      </c>
      <c r="P60">
        <v>80</v>
      </c>
      <c r="Q60">
        <v>39</v>
      </c>
      <c r="R60">
        <v>91</v>
      </c>
      <c r="S60">
        <v>35</v>
      </c>
      <c r="T60">
        <v>40</v>
      </c>
      <c r="U60">
        <v>98</v>
      </c>
      <c r="V60">
        <v>47</v>
      </c>
      <c r="W60">
        <v>179</v>
      </c>
      <c r="X60">
        <v>65</v>
      </c>
      <c r="Y60">
        <v>196</v>
      </c>
      <c r="Z60">
        <v>371</v>
      </c>
      <c r="AA60">
        <v>526</v>
      </c>
      <c r="AB60">
        <v>221</v>
      </c>
      <c r="AC60">
        <v>25</v>
      </c>
      <c r="AD60">
        <v>345</v>
      </c>
      <c r="AE60">
        <v>61</v>
      </c>
      <c r="AF60">
        <v>282</v>
      </c>
    </row>
    <row r="61" spans="1:32" x14ac:dyDescent="0.3">
      <c r="A61">
        <v>2025</v>
      </c>
      <c r="B61">
        <v>3</v>
      </c>
      <c r="C61" t="s">
        <v>37</v>
      </c>
      <c r="D61" t="s">
        <v>34</v>
      </c>
      <c r="E61">
        <v>125</v>
      </c>
      <c r="F61">
        <v>0.49</v>
      </c>
      <c r="G61">
        <f t="shared" si="1"/>
        <v>1.01</v>
      </c>
      <c r="H61">
        <v>126.25</v>
      </c>
      <c r="I61">
        <v>38.85</v>
      </c>
      <c r="J61">
        <v>102</v>
      </c>
      <c r="K61">
        <v>52</v>
      </c>
      <c r="L61">
        <v>76</v>
      </c>
      <c r="M61">
        <v>56</v>
      </c>
      <c r="N61">
        <v>75</v>
      </c>
      <c r="O61">
        <v>63</v>
      </c>
      <c r="P61">
        <v>86</v>
      </c>
      <c r="Q61">
        <v>67</v>
      </c>
      <c r="R61">
        <v>67</v>
      </c>
      <c r="S61">
        <v>77</v>
      </c>
      <c r="T61">
        <v>43</v>
      </c>
      <c r="U61">
        <v>73</v>
      </c>
      <c r="V61">
        <v>37</v>
      </c>
      <c r="W61">
        <v>5</v>
      </c>
      <c r="X61">
        <v>188</v>
      </c>
      <c r="Y61">
        <v>157</v>
      </c>
      <c r="Z61">
        <v>61</v>
      </c>
      <c r="AA61">
        <v>148</v>
      </c>
      <c r="AB61">
        <v>270</v>
      </c>
      <c r="AC61">
        <v>113</v>
      </c>
      <c r="AD61">
        <v>151</v>
      </c>
      <c r="AE61">
        <v>152</v>
      </c>
      <c r="AF61">
        <v>368</v>
      </c>
    </row>
    <row r="62" spans="1:32" x14ac:dyDescent="0.3">
      <c r="A62">
        <v>2025</v>
      </c>
      <c r="B62">
        <v>4</v>
      </c>
      <c r="C62" t="s">
        <v>38</v>
      </c>
      <c r="D62" t="s">
        <v>32</v>
      </c>
      <c r="E62">
        <v>28</v>
      </c>
      <c r="F62">
        <v>0.41000000000000003</v>
      </c>
      <c r="G62">
        <f t="shared" si="1"/>
        <v>1.5178571428571428</v>
      </c>
      <c r="H62">
        <v>42.5</v>
      </c>
      <c r="I62">
        <v>59.85</v>
      </c>
      <c r="J62">
        <v>124</v>
      </c>
      <c r="K62">
        <v>31</v>
      </c>
      <c r="L62">
        <v>121</v>
      </c>
      <c r="M62">
        <v>36</v>
      </c>
      <c r="N62">
        <v>118</v>
      </c>
      <c r="O62">
        <v>108</v>
      </c>
      <c r="P62">
        <v>53</v>
      </c>
      <c r="Q62">
        <v>37</v>
      </c>
      <c r="R62">
        <v>77</v>
      </c>
      <c r="S62">
        <v>36</v>
      </c>
      <c r="T62">
        <v>133</v>
      </c>
      <c r="U62">
        <v>79</v>
      </c>
      <c r="V62">
        <v>117</v>
      </c>
      <c r="W62">
        <v>429</v>
      </c>
      <c r="X62">
        <v>241</v>
      </c>
      <c r="Y62">
        <v>60</v>
      </c>
      <c r="Z62">
        <v>422</v>
      </c>
      <c r="AA62">
        <v>28</v>
      </c>
      <c r="AB62">
        <v>50</v>
      </c>
      <c r="AC62">
        <v>117</v>
      </c>
      <c r="AD62">
        <v>39</v>
      </c>
      <c r="AE62">
        <v>20</v>
      </c>
      <c r="AF62">
        <v>78</v>
      </c>
    </row>
    <row r="63" spans="1:32" x14ac:dyDescent="0.3">
      <c r="A63">
        <v>2025</v>
      </c>
      <c r="B63">
        <v>4</v>
      </c>
      <c r="C63" t="s">
        <v>38</v>
      </c>
      <c r="D63" t="s">
        <v>32</v>
      </c>
      <c r="E63">
        <v>98</v>
      </c>
      <c r="F63">
        <v>0.38</v>
      </c>
      <c r="G63">
        <f t="shared" si="1"/>
        <v>1.1096938775510203</v>
      </c>
      <c r="H63">
        <v>108.75</v>
      </c>
      <c r="I63">
        <v>57.75</v>
      </c>
      <c r="J63">
        <v>53</v>
      </c>
      <c r="K63">
        <v>55</v>
      </c>
      <c r="L63">
        <v>48</v>
      </c>
      <c r="M63">
        <v>69</v>
      </c>
      <c r="N63">
        <v>102</v>
      </c>
      <c r="O63">
        <v>127</v>
      </c>
      <c r="P63">
        <v>47</v>
      </c>
      <c r="Q63">
        <v>62</v>
      </c>
      <c r="R63">
        <v>84</v>
      </c>
      <c r="S63">
        <v>75</v>
      </c>
      <c r="T63">
        <v>63</v>
      </c>
      <c r="U63">
        <v>56</v>
      </c>
      <c r="V63">
        <v>58</v>
      </c>
      <c r="W63">
        <v>229</v>
      </c>
      <c r="X63">
        <v>197</v>
      </c>
      <c r="Y63">
        <v>69</v>
      </c>
      <c r="Z63">
        <v>225</v>
      </c>
      <c r="AA63">
        <v>57</v>
      </c>
      <c r="AB63">
        <v>338</v>
      </c>
      <c r="AC63">
        <v>212</v>
      </c>
      <c r="AD63">
        <v>25</v>
      </c>
      <c r="AE63">
        <v>63</v>
      </c>
      <c r="AF63">
        <v>36</v>
      </c>
    </row>
    <row r="64" spans="1:32" x14ac:dyDescent="0.3">
      <c r="A64">
        <v>2025</v>
      </c>
      <c r="B64">
        <v>4</v>
      </c>
      <c r="C64" t="s">
        <v>38</v>
      </c>
      <c r="D64" t="s">
        <v>34</v>
      </c>
      <c r="E64">
        <v>55</v>
      </c>
      <c r="F64">
        <v>0.19999999999999998</v>
      </c>
      <c r="G64">
        <f t="shared" si="1"/>
        <v>0.65909090909090906</v>
      </c>
      <c r="H64">
        <v>36.25</v>
      </c>
      <c r="I64">
        <v>19.95</v>
      </c>
      <c r="J64">
        <v>105</v>
      </c>
      <c r="K64">
        <v>118</v>
      </c>
      <c r="L64">
        <v>87</v>
      </c>
      <c r="M64">
        <v>45</v>
      </c>
      <c r="N64">
        <v>54</v>
      </c>
      <c r="O64">
        <v>94</v>
      </c>
      <c r="P64">
        <v>47</v>
      </c>
      <c r="Q64">
        <v>101</v>
      </c>
      <c r="R64">
        <v>56</v>
      </c>
      <c r="S64">
        <v>80</v>
      </c>
      <c r="T64">
        <v>47</v>
      </c>
      <c r="U64">
        <v>103</v>
      </c>
      <c r="V64">
        <v>82</v>
      </c>
      <c r="W64">
        <v>67</v>
      </c>
      <c r="X64">
        <v>135</v>
      </c>
      <c r="Y64">
        <v>291</v>
      </c>
      <c r="Z64">
        <v>21</v>
      </c>
      <c r="AA64">
        <v>28</v>
      </c>
      <c r="AB64">
        <v>542</v>
      </c>
      <c r="AC64">
        <v>22</v>
      </c>
      <c r="AD64">
        <v>53</v>
      </c>
      <c r="AE64">
        <v>168</v>
      </c>
      <c r="AF64">
        <v>168</v>
      </c>
    </row>
    <row r="65" spans="1:32" x14ac:dyDescent="0.3">
      <c r="A65">
        <v>2025</v>
      </c>
      <c r="B65">
        <v>4</v>
      </c>
      <c r="C65" t="s">
        <v>38</v>
      </c>
      <c r="D65" t="s">
        <v>36</v>
      </c>
      <c r="E65">
        <v>42</v>
      </c>
      <c r="F65">
        <v>0.46000000000000008</v>
      </c>
      <c r="G65">
        <f t="shared" si="1"/>
        <v>3.6607142857142856</v>
      </c>
      <c r="H65">
        <v>153.75</v>
      </c>
      <c r="I65">
        <v>46.2</v>
      </c>
      <c r="J65">
        <v>36</v>
      </c>
      <c r="K65">
        <v>102</v>
      </c>
      <c r="L65">
        <v>37</v>
      </c>
      <c r="M65">
        <v>99</v>
      </c>
      <c r="N65">
        <v>126</v>
      </c>
      <c r="O65">
        <v>74</v>
      </c>
      <c r="P65">
        <v>102</v>
      </c>
      <c r="Q65">
        <v>52</v>
      </c>
      <c r="R65">
        <v>47</v>
      </c>
      <c r="S65">
        <v>47</v>
      </c>
      <c r="T65">
        <v>102</v>
      </c>
      <c r="U65">
        <v>81</v>
      </c>
      <c r="V65">
        <v>92</v>
      </c>
      <c r="W65">
        <v>230</v>
      </c>
      <c r="X65">
        <v>100</v>
      </c>
      <c r="Y65">
        <v>85</v>
      </c>
      <c r="Z65">
        <v>26</v>
      </c>
      <c r="AA65">
        <v>42</v>
      </c>
      <c r="AB65">
        <v>93</v>
      </c>
      <c r="AC65">
        <v>130</v>
      </c>
      <c r="AD65">
        <v>56</v>
      </c>
      <c r="AE65">
        <v>203</v>
      </c>
      <c r="AF65">
        <v>245</v>
      </c>
    </row>
    <row r="66" spans="1:32" x14ac:dyDescent="0.3">
      <c r="A66">
        <v>2025</v>
      </c>
      <c r="B66">
        <v>5</v>
      </c>
      <c r="C66" t="s">
        <v>39</v>
      </c>
      <c r="D66" t="s">
        <v>34</v>
      </c>
      <c r="E66">
        <v>72</v>
      </c>
      <c r="F66">
        <v>0.5</v>
      </c>
      <c r="G66">
        <f t="shared" ref="G66:G97" si="2">H66/E66</f>
        <v>0.46875</v>
      </c>
      <c r="H66">
        <v>33.75</v>
      </c>
      <c r="I66">
        <v>50.4</v>
      </c>
      <c r="J66">
        <v>110</v>
      </c>
      <c r="K66">
        <v>52</v>
      </c>
      <c r="L66">
        <v>29</v>
      </c>
      <c r="M66">
        <v>95</v>
      </c>
      <c r="N66">
        <v>122</v>
      </c>
      <c r="O66">
        <v>67</v>
      </c>
      <c r="P66">
        <v>63</v>
      </c>
      <c r="Q66">
        <v>64</v>
      </c>
      <c r="R66">
        <v>61</v>
      </c>
      <c r="S66">
        <v>38</v>
      </c>
      <c r="T66">
        <v>58</v>
      </c>
      <c r="U66">
        <v>107</v>
      </c>
      <c r="V66">
        <v>110</v>
      </c>
      <c r="W66">
        <v>43</v>
      </c>
      <c r="X66">
        <v>355</v>
      </c>
      <c r="Y66">
        <v>57</v>
      </c>
      <c r="Z66">
        <v>176</v>
      </c>
      <c r="AA66">
        <v>148</v>
      </c>
      <c r="AB66">
        <v>35</v>
      </c>
      <c r="AC66">
        <v>38</v>
      </c>
      <c r="AD66">
        <v>32</v>
      </c>
      <c r="AE66">
        <v>175</v>
      </c>
      <c r="AF66">
        <v>154</v>
      </c>
    </row>
    <row r="67" spans="1:32" x14ac:dyDescent="0.3">
      <c r="A67">
        <v>2025</v>
      </c>
      <c r="B67">
        <v>5</v>
      </c>
      <c r="C67" t="s">
        <v>39</v>
      </c>
      <c r="D67" t="s">
        <v>36</v>
      </c>
      <c r="E67">
        <v>31</v>
      </c>
      <c r="F67">
        <v>0.48</v>
      </c>
      <c r="G67">
        <f t="shared" si="2"/>
        <v>4.435483870967742</v>
      </c>
      <c r="H67">
        <v>137.5</v>
      </c>
      <c r="I67">
        <v>57.75</v>
      </c>
      <c r="J67">
        <v>56</v>
      </c>
      <c r="K67">
        <v>63</v>
      </c>
      <c r="L67">
        <v>117</v>
      </c>
      <c r="M67">
        <v>114</v>
      </c>
      <c r="N67">
        <v>32</v>
      </c>
      <c r="O67">
        <v>116</v>
      </c>
      <c r="P67">
        <v>36</v>
      </c>
      <c r="Q67">
        <v>126</v>
      </c>
      <c r="R67">
        <v>61</v>
      </c>
      <c r="S67">
        <v>60</v>
      </c>
      <c r="T67">
        <v>46</v>
      </c>
      <c r="U67">
        <v>73</v>
      </c>
      <c r="V67">
        <v>68</v>
      </c>
      <c r="W67">
        <v>65</v>
      </c>
      <c r="X67">
        <v>435</v>
      </c>
      <c r="Y67">
        <v>80</v>
      </c>
      <c r="Z67">
        <v>566</v>
      </c>
      <c r="AA67">
        <v>15</v>
      </c>
      <c r="AB67">
        <v>21</v>
      </c>
      <c r="AC67">
        <v>259</v>
      </c>
      <c r="AD67">
        <v>317</v>
      </c>
      <c r="AE67">
        <v>367</v>
      </c>
      <c r="AF67">
        <v>334</v>
      </c>
    </row>
    <row r="68" spans="1:32" x14ac:dyDescent="0.3">
      <c r="A68">
        <v>2025</v>
      </c>
      <c r="B68">
        <v>5</v>
      </c>
      <c r="C68" t="s">
        <v>39</v>
      </c>
      <c r="D68" t="s">
        <v>33</v>
      </c>
      <c r="E68">
        <v>65</v>
      </c>
      <c r="F68">
        <v>0.64</v>
      </c>
      <c r="G68">
        <f t="shared" si="2"/>
        <v>2.3076923076923075</v>
      </c>
      <c r="H68">
        <v>150</v>
      </c>
      <c r="I68">
        <v>19.95</v>
      </c>
      <c r="J68">
        <v>93</v>
      </c>
      <c r="K68">
        <v>55</v>
      </c>
      <c r="L68">
        <v>86</v>
      </c>
      <c r="M68">
        <v>94</v>
      </c>
      <c r="N68">
        <v>83</v>
      </c>
      <c r="O68">
        <v>96</v>
      </c>
      <c r="P68">
        <v>71</v>
      </c>
      <c r="Q68">
        <v>77</v>
      </c>
      <c r="R68">
        <v>51</v>
      </c>
      <c r="S68">
        <v>71</v>
      </c>
      <c r="T68">
        <v>57</v>
      </c>
      <c r="U68">
        <v>127</v>
      </c>
      <c r="V68">
        <v>94</v>
      </c>
      <c r="W68">
        <v>44</v>
      </c>
      <c r="X68">
        <v>62</v>
      </c>
      <c r="Y68">
        <v>86</v>
      </c>
      <c r="Z68">
        <v>222</v>
      </c>
      <c r="AA68">
        <v>43</v>
      </c>
      <c r="AB68">
        <v>40</v>
      </c>
      <c r="AC68">
        <v>112</v>
      </c>
      <c r="AD68">
        <v>57</v>
      </c>
      <c r="AE68">
        <v>372</v>
      </c>
      <c r="AF68">
        <v>116</v>
      </c>
    </row>
    <row r="69" spans="1:32" x14ac:dyDescent="0.3">
      <c r="A69">
        <v>2025</v>
      </c>
      <c r="B69">
        <v>5</v>
      </c>
      <c r="C69" t="s">
        <v>39</v>
      </c>
      <c r="D69" t="s">
        <v>33</v>
      </c>
      <c r="E69">
        <v>28</v>
      </c>
      <c r="F69">
        <v>0.46000000000000008</v>
      </c>
      <c r="G69">
        <f t="shared" si="2"/>
        <v>5.625</v>
      </c>
      <c r="H69">
        <v>157.5</v>
      </c>
      <c r="I69">
        <v>10.5</v>
      </c>
      <c r="J69">
        <v>99</v>
      </c>
      <c r="K69">
        <v>54</v>
      </c>
      <c r="L69">
        <v>34</v>
      </c>
      <c r="M69">
        <v>57</v>
      </c>
      <c r="N69">
        <v>41</v>
      </c>
      <c r="O69">
        <v>27</v>
      </c>
      <c r="P69">
        <v>58</v>
      </c>
      <c r="Q69">
        <v>77</v>
      </c>
      <c r="R69">
        <v>39</v>
      </c>
      <c r="S69">
        <v>60</v>
      </c>
      <c r="T69">
        <v>61</v>
      </c>
      <c r="U69">
        <v>117</v>
      </c>
      <c r="V69">
        <v>120</v>
      </c>
      <c r="W69">
        <v>184</v>
      </c>
      <c r="X69">
        <v>305</v>
      </c>
      <c r="Y69">
        <v>420</v>
      </c>
      <c r="Z69">
        <v>93</v>
      </c>
      <c r="AA69">
        <v>163</v>
      </c>
      <c r="AB69">
        <v>25</v>
      </c>
      <c r="AC69">
        <v>240</v>
      </c>
      <c r="AD69">
        <v>132</v>
      </c>
      <c r="AE69">
        <v>83</v>
      </c>
      <c r="AF69">
        <v>145</v>
      </c>
    </row>
    <row r="70" spans="1:32" x14ac:dyDescent="0.3">
      <c r="A70">
        <v>2025</v>
      </c>
      <c r="B70">
        <v>6</v>
      </c>
      <c r="C70" t="s">
        <v>40</v>
      </c>
      <c r="D70" t="s">
        <v>34</v>
      </c>
      <c r="E70">
        <v>126</v>
      </c>
      <c r="F70">
        <v>0.57000000000000006</v>
      </c>
      <c r="G70">
        <f t="shared" si="2"/>
        <v>1.1805555555555556</v>
      </c>
      <c r="H70">
        <v>148.75</v>
      </c>
      <c r="I70">
        <v>35.700000000000003</v>
      </c>
      <c r="J70">
        <v>89</v>
      </c>
      <c r="K70">
        <v>73</v>
      </c>
      <c r="L70">
        <v>95</v>
      </c>
      <c r="M70">
        <v>95</v>
      </c>
      <c r="N70">
        <v>99</v>
      </c>
      <c r="O70">
        <v>124</v>
      </c>
      <c r="P70">
        <v>50</v>
      </c>
      <c r="Q70">
        <v>80</v>
      </c>
      <c r="R70">
        <v>64</v>
      </c>
      <c r="S70">
        <v>107</v>
      </c>
      <c r="T70">
        <v>79</v>
      </c>
      <c r="U70">
        <v>65</v>
      </c>
      <c r="V70">
        <v>34</v>
      </c>
      <c r="W70">
        <v>566</v>
      </c>
      <c r="X70">
        <v>637</v>
      </c>
      <c r="Y70">
        <v>35</v>
      </c>
      <c r="Z70">
        <v>112</v>
      </c>
      <c r="AA70">
        <v>93</v>
      </c>
      <c r="AB70">
        <v>102</v>
      </c>
      <c r="AC70">
        <v>120</v>
      </c>
      <c r="AD70">
        <v>138</v>
      </c>
      <c r="AE70">
        <v>136</v>
      </c>
      <c r="AF70">
        <v>46</v>
      </c>
    </row>
    <row r="71" spans="1:32" x14ac:dyDescent="0.3">
      <c r="A71">
        <v>2025</v>
      </c>
      <c r="B71">
        <v>6</v>
      </c>
      <c r="C71" t="s">
        <v>40</v>
      </c>
      <c r="D71" t="s">
        <v>34</v>
      </c>
      <c r="E71">
        <v>61</v>
      </c>
      <c r="F71">
        <v>0.66</v>
      </c>
      <c r="G71">
        <f t="shared" si="2"/>
        <v>1.5778688524590163</v>
      </c>
      <c r="H71">
        <v>96.25</v>
      </c>
      <c r="I71">
        <v>58.8</v>
      </c>
      <c r="J71">
        <v>71</v>
      </c>
      <c r="K71">
        <v>99</v>
      </c>
      <c r="L71">
        <v>68</v>
      </c>
      <c r="M71">
        <v>57</v>
      </c>
      <c r="N71">
        <v>60</v>
      </c>
      <c r="O71">
        <v>89</v>
      </c>
      <c r="P71">
        <v>94</v>
      </c>
      <c r="Q71">
        <v>45</v>
      </c>
      <c r="R71">
        <v>136</v>
      </c>
      <c r="S71">
        <v>71</v>
      </c>
      <c r="T71">
        <v>77</v>
      </c>
      <c r="U71">
        <v>70</v>
      </c>
      <c r="V71">
        <v>111</v>
      </c>
      <c r="W71">
        <v>232</v>
      </c>
      <c r="X71">
        <v>126</v>
      </c>
      <c r="Y71">
        <v>79</v>
      </c>
      <c r="Z71">
        <v>342</v>
      </c>
      <c r="AA71">
        <v>5</v>
      </c>
      <c r="AB71">
        <v>114</v>
      </c>
      <c r="AC71">
        <v>132</v>
      </c>
      <c r="AD71">
        <v>5</v>
      </c>
      <c r="AE71">
        <v>105</v>
      </c>
      <c r="AF71">
        <v>64</v>
      </c>
    </row>
    <row r="72" spans="1:32" x14ac:dyDescent="0.3">
      <c r="A72">
        <v>2025</v>
      </c>
      <c r="B72">
        <v>6</v>
      </c>
      <c r="C72" t="s">
        <v>40</v>
      </c>
      <c r="D72" t="s">
        <v>33</v>
      </c>
      <c r="E72">
        <v>113</v>
      </c>
      <c r="F72">
        <v>0.23</v>
      </c>
      <c r="G72">
        <f t="shared" si="2"/>
        <v>1.2831858407079646</v>
      </c>
      <c r="H72">
        <v>145</v>
      </c>
      <c r="I72">
        <v>19.95</v>
      </c>
      <c r="J72">
        <v>96</v>
      </c>
      <c r="K72">
        <v>103</v>
      </c>
      <c r="L72">
        <v>91</v>
      </c>
      <c r="M72">
        <v>125</v>
      </c>
      <c r="N72">
        <v>61</v>
      </c>
      <c r="O72">
        <v>136</v>
      </c>
      <c r="P72">
        <v>53</v>
      </c>
      <c r="Q72">
        <v>58</v>
      </c>
      <c r="R72">
        <v>115</v>
      </c>
      <c r="S72">
        <v>62</v>
      </c>
      <c r="T72">
        <v>73</v>
      </c>
      <c r="U72">
        <v>49</v>
      </c>
      <c r="V72">
        <v>125</v>
      </c>
      <c r="W72">
        <v>75</v>
      </c>
      <c r="X72">
        <v>16</v>
      </c>
      <c r="Y72">
        <v>100</v>
      </c>
      <c r="Z72">
        <v>142</v>
      </c>
      <c r="AA72">
        <v>91</v>
      </c>
      <c r="AB72">
        <v>134</v>
      </c>
      <c r="AC72">
        <v>267</v>
      </c>
      <c r="AD72">
        <v>314</v>
      </c>
      <c r="AE72">
        <v>22</v>
      </c>
      <c r="AF72">
        <v>72</v>
      </c>
    </row>
    <row r="73" spans="1:32" x14ac:dyDescent="0.3">
      <c r="A73">
        <v>2025</v>
      </c>
      <c r="B73">
        <v>6</v>
      </c>
      <c r="C73" t="s">
        <v>40</v>
      </c>
      <c r="D73" t="s">
        <v>34</v>
      </c>
      <c r="E73">
        <v>117</v>
      </c>
      <c r="F73">
        <v>0.64</v>
      </c>
      <c r="G73">
        <f t="shared" si="2"/>
        <v>0.49145299145299143</v>
      </c>
      <c r="H73">
        <v>57.5</v>
      </c>
      <c r="I73">
        <v>23.1</v>
      </c>
      <c r="J73">
        <v>103</v>
      </c>
      <c r="K73">
        <v>40</v>
      </c>
      <c r="L73">
        <v>109</v>
      </c>
      <c r="M73">
        <v>64</v>
      </c>
      <c r="N73">
        <v>94</v>
      </c>
      <c r="O73">
        <v>54</v>
      </c>
      <c r="P73">
        <v>80</v>
      </c>
      <c r="Q73">
        <v>93</v>
      </c>
      <c r="R73">
        <v>44</v>
      </c>
      <c r="S73">
        <v>73</v>
      </c>
      <c r="T73">
        <v>119</v>
      </c>
      <c r="U73">
        <v>44</v>
      </c>
      <c r="V73">
        <v>50</v>
      </c>
      <c r="W73">
        <v>19</v>
      </c>
      <c r="X73">
        <v>273</v>
      </c>
      <c r="Y73">
        <v>43</v>
      </c>
      <c r="Z73">
        <v>116</v>
      </c>
      <c r="AA73">
        <v>80</v>
      </c>
      <c r="AB73">
        <v>225</v>
      </c>
      <c r="AC73">
        <v>160</v>
      </c>
      <c r="AD73">
        <v>114</v>
      </c>
      <c r="AE73">
        <v>146</v>
      </c>
      <c r="AF73">
        <v>33</v>
      </c>
    </row>
    <row r="74" spans="1:32" x14ac:dyDescent="0.3">
      <c r="A74">
        <v>2025</v>
      </c>
      <c r="B74">
        <v>7</v>
      </c>
      <c r="C74" t="s">
        <v>41</v>
      </c>
      <c r="D74" t="s">
        <v>32</v>
      </c>
      <c r="E74">
        <v>46</v>
      </c>
      <c r="F74">
        <v>0.24999999999999997</v>
      </c>
      <c r="G74">
        <f t="shared" si="2"/>
        <v>3.1793478260869565</v>
      </c>
      <c r="H74">
        <v>146.25</v>
      </c>
      <c r="I74">
        <v>46.2</v>
      </c>
      <c r="J74">
        <v>60</v>
      </c>
      <c r="K74">
        <v>44</v>
      </c>
      <c r="L74">
        <v>97</v>
      </c>
      <c r="M74">
        <v>131</v>
      </c>
      <c r="N74">
        <v>65</v>
      </c>
      <c r="O74">
        <v>96</v>
      </c>
      <c r="P74">
        <v>72</v>
      </c>
      <c r="Q74">
        <v>55</v>
      </c>
      <c r="R74">
        <v>48</v>
      </c>
      <c r="S74">
        <v>115</v>
      </c>
      <c r="T74">
        <v>80</v>
      </c>
      <c r="U74">
        <v>60</v>
      </c>
      <c r="V74">
        <v>98</v>
      </c>
      <c r="W74">
        <v>72</v>
      </c>
      <c r="X74">
        <v>95</v>
      </c>
      <c r="Y74">
        <v>162</v>
      </c>
      <c r="Z74">
        <v>51</v>
      </c>
      <c r="AA74">
        <v>231</v>
      </c>
      <c r="AB74">
        <v>128</v>
      </c>
      <c r="AC74">
        <v>44</v>
      </c>
      <c r="AD74">
        <v>48</v>
      </c>
      <c r="AE74">
        <v>172</v>
      </c>
      <c r="AF74">
        <v>120</v>
      </c>
    </row>
    <row r="75" spans="1:32" x14ac:dyDescent="0.3">
      <c r="A75">
        <v>2025</v>
      </c>
      <c r="B75">
        <v>7</v>
      </c>
      <c r="C75" t="s">
        <v>41</v>
      </c>
      <c r="D75" t="s">
        <v>32</v>
      </c>
      <c r="E75">
        <v>116</v>
      </c>
      <c r="F75">
        <v>0.46000000000000008</v>
      </c>
      <c r="G75">
        <f t="shared" si="2"/>
        <v>1.2176724137931034</v>
      </c>
      <c r="H75">
        <v>141.25</v>
      </c>
      <c r="I75">
        <v>24.15</v>
      </c>
      <c r="J75">
        <v>55</v>
      </c>
      <c r="K75">
        <v>58</v>
      </c>
      <c r="L75">
        <v>92</v>
      </c>
      <c r="M75">
        <v>79</v>
      </c>
      <c r="N75">
        <v>84</v>
      </c>
      <c r="O75">
        <v>45</v>
      </c>
      <c r="P75">
        <v>147</v>
      </c>
      <c r="Q75">
        <v>63</v>
      </c>
      <c r="R75">
        <v>46</v>
      </c>
      <c r="S75">
        <v>79</v>
      </c>
      <c r="T75">
        <v>69</v>
      </c>
      <c r="U75">
        <v>83</v>
      </c>
      <c r="V75">
        <v>66</v>
      </c>
      <c r="W75">
        <v>50</v>
      </c>
      <c r="X75">
        <v>143</v>
      </c>
      <c r="Y75">
        <v>234</v>
      </c>
      <c r="Z75">
        <v>144</v>
      </c>
      <c r="AA75">
        <v>44</v>
      </c>
      <c r="AB75">
        <v>170</v>
      </c>
      <c r="AC75">
        <v>210</v>
      </c>
      <c r="AD75">
        <v>38</v>
      </c>
      <c r="AE75">
        <v>255</v>
      </c>
      <c r="AF75">
        <v>27</v>
      </c>
    </row>
    <row r="76" spans="1:32" x14ac:dyDescent="0.3">
      <c r="A76">
        <v>2025</v>
      </c>
      <c r="B76">
        <v>7</v>
      </c>
      <c r="C76" t="s">
        <v>41</v>
      </c>
      <c r="D76" t="s">
        <v>34</v>
      </c>
      <c r="E76">
        <v>77</v>
      </c>
      <c r="F76">
        <v>0.5</v>
      </c>
      <c r="G76">
        <f t="shared" si="2"/>
        <v>0.99025974025974028</v>
      </c>
      <c r="H76">
        <v>76.25</v>
      </c>
      <c r="I76">
        <v>61.95</v>
      </c>
      <c r="J76">
        <v>51</v>
      </c>
      <c r="K76">
        <v>42</v>
      </c>
      <c r="L76">
        <v>35</v>
      </c>
      <c r="M76">
        <v>96</v>
      </c>
      <c r="N76">
        <v>54</v>
      </c>
      <c r="O76">
        <v>41</v>
      </c>
      <c r="P76">
        <v>63</v>
      </c>
      <c r="Q76">
        <v>121</v>
      </c>
      <c r="R76">
        <v>44</v>
      </c>
      <c r="S76">
        <v>54</v>
      </c>
      <c r="T76">
        <v>79</v>
      </c>
      <c r="U76">
        <v>60</v>
      </c>
      <c r="V76">
        <v>27</v>
      </c>
      <c r="W76">
        <v>111</v>
      </c>
      <c r="X76">
        <v>39</v>
      </c>
      <c r="Y76">
        <v>40</v>
      </c>
      <c r="Z76">
        <v>285</v>
      </c>
      <c r="AA76">
        <v>180</v>
      </c>
      <c r="AB76">
        <v>165</v>
      </c>
      <c r="AC76">
        <v>377</v>
      </c>
      <c r="AD76">
        <v>42</v>
      </c>
      <c r="AE76">
        <v>76</v>
      </c>
      <c r="AF76">
        <v>63</v>
      </c>
    </row>
    <row r="77" spans="1:32" x14ac:dyDescent="0.3">
      <c r="A77">
        <v>2025</v>
      </c>
      <c r="B77">
        <v>7</v>
      </c>
      <c r="C77" t="s">
        <v>41</v>
      </c>
      <c r="D77" t="s">
        <v>36</v>
      </c>
      <c r="E77">
        <v>119</v>
      </c>
      <c r="F77">
        <v>0.52</v>
      </c>
      <c r="G77">
        <f t="shared" si="2"/>
        <v>1.3235294117647058</v>
      </c>
      <c r="H77">
        <v>157.5</v>
      </c>
      <c r="I77">
        <v>51.45</v>
      </c>
      <c r="J77">
        <v>40</v>
      </c>
      <c r="K77">
        <v>69</v>
      </c>
      <c r="L77">
        <v>93</v>
      </c>
      <c r="M77">
        <v>134</v>
      </c>
      <c r="N77">
        <v>107</v>
      </c>
      <c r="O77">
        <v>46</v>
      </c>
      <c r="P77">
        <v>38</v>
      </c>
      <c r="Q77">
        <v>113</v>
      </c>
      <c r="R77">
        <v>54</v>
      </c>
      <c r="S77">
        <v>42</v>
      </c>
      <c r="T77">
        <v>133</v>
      </c>
      <c r="U77">
        <v>49</v>
      </c>
      <c r="V77">
        <v>86</v>
      </c>
      <c r="W77">
        <v>60</v>
      </c>
      <c r="X77">
        <v>231</v>
      </c>
      <c r="Y77">
        <v>210</v>
      </c>
      <c r="Z77">
        <v>44</v>
      </c>
      <c r="AA77">
        <v>84</v>
      </c>
      <c r="AB77">
        <v>237</v>
      </c>
      <c r="AC77">
        <v>76</v>
      </c>
      <c r="AD77">
        <v>11</v>
      </c>
      <c r="AE77">
        <v>110</v>
      </c>
      <c r="AF77">
        <v>122</v>
      </c>
    </row>
    <row r="78" spans="1:32" x14ac:dyDescent="0.3">
      <c r="A78">
        <v>2025</v>
      </c>
      <c r="B78">
        <v>8</v>
      </c>
      <c r="C78" t="s">
        <v>42</v>
      </c>
      <c r="D78" t="s">
        <v>34</v>
      </c>
      <c r="E78">
        <v>126</v>
      </c>
      <c r="F78">
        <v>0.48</v>
      </c>
      <c r="G78">
        <f t="shared" si="2"/>
        <v>0.27777777777777779</v>
      </c>
      <c r="H78">
        <v>35</v>
      </c>
      <c r="I78">
        <v>43.05</v>
      </c>
      <c r="J78">
        <v>89</v>
      </c>
      <c r="K78">
        <v>76</v>
      </c>
      <c r="L78">
        <v>25</v>
      </c>
      <c r="M78">
        <v>70</v>
      </c>
      <c r="N78">
        <v>103</v>
      </c>
      <c r="O78">
        <v>71</v>
      </c>
      <c r="P78">
        <v>136</v>
      </c>
      <c r="Q78">
        <v>83</v>
      </c>
      <c r="R78">
        <v>41</v>
      </c>
      <c r="S78">
        <v>76</v>
      </c>
      <c r="T78">
        <v>86</v>
      </c>
      <c r="U78">
        <v>82</v>
      </c>
      <c r="V78">
        <v>105</v>
      </c>
      <c r="W78">
        <v>103</v>
      </c>
      <c r="X78">
        <v>154</v>
      </c>
      <c r="Y78">
        <v>92</v>
      </c>
      <c r="Z78">
        <v>83</v>
      </c>
      <c r="AA78">
        <v>208</v>
      </c>
      <c r="AB78">
        <v>360</v>
      </c>
      <c r="AC78">
        <v>140</v>
      </c>
      <c r="AD78">
        <v>427</v>
      </c>
      <c r="AE78">
        <v>396</v>
      </c>
      <c r="AF78">
        <v>281</v>
      </c>
    </row>
    <row r="79" spans="1:32" x14ac:dyDescent="0.3">
      <c r="A79">
        <v>2025</v>
      </c>
      <c r="B79">
        <v>8</v>
      </c>
      <c r="C79" t="s">
        <v>42</v>
      </c>
      <c r="D79" t="s">
        <v>32</v>
      </c>
      <c r="E79">
        <v>120</v>
      </c>
      <c r="F79">
        <v>0.46000000000000008</v>
      </c>
      <c r="G79">
        <f t="shared" si="2"/>
        <v>0.67708333333333337</v>
      </c>
      <c r="H79">
        <v>81.25</v>
      </c>
      <c r="I79">
        <v>38.85</v>
      </c>
      <c r="J79">
        <v>69</v>
      </c>
      <c r="K79">
        <v>65</v>
      </c>
      <c r="L79">
        <v>57</v>
      </c>
      <c r="M79">
        <v>42</v>
      </c>
      <c r="N79">
        <v>71</v>
      </c>
      <c r="O79">
        <v>70</v>
      </c>
      <c r="P79">
        <v>42</v>
      </c>
      <c r="Q79">
        <v>27</v>
      </c>
      <c r="R79">
        <v>141</v>
      </c>
      <c r="S79">
        <v>134</v>
      </c>
      <c r="T79">
        <v>48</v>
      </c>
      <c r="U79">
        <v>74</v>
      </c>
      <c r="V79">
        <v>17</v>
      </c>
      <c r="W79">
        <v>59</v>
      </c>
      <c r="X79">
        <v>132</v>
      </c>
      <c r="Y79">
        <v>372</v>
      </c>
      <c r="Z79">
        <v>83</v>
      </c>
      <c r="AA79">
        <v>75</v>
      </c>
      <c r="AB79">
        <v>250</v>
      </c>
      <c r="AC79">
        <v>145</v>
      </c>
      <c r="AD79">
        <v>355</v>
      </c>
      <c r="AE79">
        <v>292</v>
      </c>
      <c r="AF79">
        <v>448</v>
      </c>
    </row>
    <row r="80" spans="1:32" x14ac:dyDescent="0.3">
      <c r="A80">
        <v>2025</v>
      </c>
      <c r="B80">
        <v>8</v>
      </c>
      <c r="C80" t="s">
        <v>42</v>
      </c>
      <c r="D80" t="s">
        <v>32</v>
      </c>
      <c r="E80">
        <v>110</v>
      </c>
      <c r="F80">
        <v>0.58000000000000007</v>
      </c>
      <c r="G80">
        <f t="shared" si="2"/>
        <v>0.35227272727272729</v>
      </c>
      <c r="H80">
        <v>38.75</v>
      </c>
      <c r="I80">
        <v>25.2</v>
      </c>
      <c r="J80">
        <v>41</v>
      </c>
      <c r="K80">
        <v>49</v>
      </c>
      <c r="L80">
        <v>60</v>
      </c>
      <c r="M80">
        <v>57</v>
      </c>
      <c r="N80">
        <v>38</v>
      </c>
      <c r="O80">
        <v>51</v>
      </c>
      <c r="P80">
        <v>36</v>
      </c>
      <c r="Q80">
        <v>97</v>
      </c>
      <c r="R80">
        <v>98</v>
      </c>
      <c r="S80">
        <v>71</v>
      </c>
      <c r="T80">
        <v>77</v>
      </c>
      <c r="U80">
        <v>82</v>
      </c>
      <c r="V80">
        <v>74</v>
      </c>
      <c r="W80">
        <v>672</v>
      </c>
      <c r="X80">
        <v>16</v>
      </c>
      <c r="Y80">
        <v>177</v>
      </c>
      <c r="Z80">
        <v>110</v>
      </c>
      <c r="AA80">
        <v>180</v>
      </c>
      <c r="AB80">
        <v>161</v>
      </c>
      <c r="AC80">
        <v>188</v>
      </c>
      <c r="AD80">
        <v>198</v>
      </c>
      <c r="AE80">
        <v>54</v>
      </c>
      <c r="AF80">
        <v>136</v>
      </c>
    </row>
    <row r="81" spans="1:32" x14ac:dyDescent="0.3">
      <c r="A81">
        <v>2025</v>
      </c>
      <c r="B81">
        <v>8</v>
      </c>
      <c r="C81" t="s">
        <v>42</v>
      </c>
      <c r="D81" t="s">
        <v>34</v>
      </c>
      <c r="E81">
        <v>27</v>
      </c>
      <c r="F81">
        <v>0.26</v>
      </c>
      <c r="G81">
        <f t="shared" si="2"/>
        <v>3.3333333333333335</v>
      </c>
      <c r="H81">
        <v>90</v>
      </c>
      <c r="I81">
        <v>27.3</v>
      </c>
      <c r="J81">
        <v>48</v>
      </c>
      <c r="K81">
        <v>49</v>
      </c>
      <c r="L81">
        <v>62</v>
      </c>
      <c r="M81">
        <v>93</v>
      </c>
      <c r="N81">
        <v>69</v>
      </c>
      <c r="O81">
        <v>63</v>
      </c>
      <c r="P81">
        <v>112</v>
      </c>
      <c r="Q81">
        <v>51</v>
      </c>
      <c r="R81">
        <v>74</v>
      </c>
      <c r="S81">
        <v>74</v>
      </c>
      <c r="T81">
        <v>74</v>
      </c>
      <c r="U81">
        <v>75</v>
      </c>
      <c r="V81">
        <v>63</v>
      </c>
      <c r="W81">
        <v>46</v>
      </c>
      <c r="X81">
        <v>55</v>
      </c>
      <c r="Y81">
        <v>147</v>
      </c>
      <c r="Z81">
        <v>94</v>
      </c>
      <c r="AA81">
        <v>140</v>
      </c>
      <c r="AB81">
        <v>65</v>
      </c>
      <c r="AC81">
        <v>107</v>
      </c>
      <c r="AD81">
        <v>16</v>
      </c>
      <c r="AE81">
        <v>139</v>
      </c>
      <c r="AF81">
        <v>660</v>
      </c>
    </row>
    <row r="82" spans="1:32" x14ac:dyDescent="0.3">
      <c r="A82">
        <v>2025</v>
      </c>
      <c r="B82">
        <v>9</v>
      </c>
      <c r="C82" t="s">
        <v>43</v>
      </c>
      <c r="D82" t="s">
        <v>34</v>
      </c>
      <c r="E82">
        <v>123</v>
      </c>
      <c r="F82">
        <v>0.41000000000000003</v>
      </c>
      <c r="G82">
        <f t="shared" si="2"/>
        <v>0.42682926829268292</v>
      </c>
      <c r="H82">
        <v>52.5</v>
      </c>
      <c r="I82">
        <v>21</v>
      </c>
      <c r="J82">
        <v>78</v>
      </c>
      <c r="K82">
        <v>42</v>
      </c>
      <c r="L82">
        <v>60</v>
      </c>
      <c r="M82">
        <v>92</v>
      </c>
      <c r="N82">
        <v>99</v>
      </c>
      <c r="O82">
        <v>82</v>
      </c>
      <c r="P82">
        <v>75</v>
      </c>
      <c r="Q82">
        <v>120</v>
      </c>
      <c r="R82">
        <v>59</v>
      </c>
      <c r="S82">
        <v>126</v>
      </c>
      <c r="T82">
        <v>65</v>
      </c>
      <c r="U82">
        <v>53</v>
      </c>
      <c r="V82">
        <v>101</v>
      </c>
      <c r="W82">
        <v>83</v>
      </c>
      <c r="X82">
        <v>156</v>
      </c>
      <c r="Y82">
        <v>131</v>
      </c>
      <c r="Z82">
        <v>93</v>
      </c>
      <c r="AA82">
        <v>133</v>
      </c>
      <c r="AB82">
        <v>40</v>
      </c>
      <c r="AC82">
        <v>85</v>
      </c>
      <c r="AD82">
        <v>197</v>
      </c>
      <c r="AE82">
        <v>187</v>
      </c>
      <c r="AF82">
        <v>200</v>
      </c>
    </row>
    <row r="83" spans="1:32" x14ac:dyDescent="0.3">
      <c r="A83">
        <v>2025</v>
      </c>
      <c r="B83">
        <v>9</v>
      </c>
      <c r="C83" t="s">
        <v>43</v>
      </c>
      <c r="D83" t="s">
        <v>33</v>
      </c>
      <c r="E83">
        <v>29</v>
      </c>
      <c r="F83">
        <v>0.6</v>
      </c>
      <c r="G83">
        <f t="shared" si="2"/>
        <v>2.3706896551724137</v>
      </c>
      <c r="H83">
        <v>68.75</v>
      </c>
      <c r="I83">
        <v>55.65</v>
      </c>
      <c r="J83">
        <v>85</v>
      </c>
      <c r="K83">
        <v>44</v>
      </c>
      <c r="L83">
        <v>91</v>
      </c>
      <c r="M83">
        <v>88</v>
      </c>
      <c r="N83">
        <v>69</v>
      </c>
      <c r="O83">
        <v>35</v>
      </c>
      <c r="P83">
        <v>138</v>
      </c>
      <c r="Q83">
        <v>81</v>
      </c>
      <c r="R83">
        <v>111</v>
      </c>
      <c r="S83">
        <v>92</v>
      </c>
      <c r="T83">
        <v>119</v>
      </c>
      <c r="U83">
        <v>102</v>
      </c>
      <c r="V83">
        <v>121</v>
      </c>
      <c r="W83">
        <v>9</v>
      </c>
      <c r="X83">
        <v>232</v>
      </c>
      <c r="Y83">
        <v>38</v>
      </c>
      <c r="Z83">
        <v>220</v>
      </c>
      <c r="AA83">
        <v>290</v>
      </c>
      <c r="AB83">
        <v>9</v>
      </c>
      <c r="AC83">
        <v>412</v>
      </c>
      <c r="AD83">
        <v>173</v>
      </c>
      <c r="AE83">
        <v>97</v>
      </c>
      <c r="AF83">
        <v>133</v>
      </c>
    </row>
    <row r="84" spans="1:32" x14ac:dyDescent="0.3">
      <c r="A84">
        <v>2025</v>
      </c>
      <c r="B84">
        <v>9</v>
      </c>
      <c r="C84" t="s">
        <v>43</v>
      </c>
      <c r="D84" t="s">
        <v>36</v>
      </c>
      <c r="E84">
        <v>87</v>
      </c>
      <c r="F84">
        <v>0.41000000000000003</v>
      </c>
      <c r="G84">
        <f t="shared" si="2"/>
        <v>1.4080459770114941</v>
      </c>
      <c r="H84">
        <v>122.5</v>
      </c>
      <c r="I84">
        <v>27.3</v>
      </c>
      <c r="J84">
        <v>90</v>
      </c>
      <c r="K84">
        <v>87</v>
      </c>
      <c r="L84">
        <v>126</v>
      </c>
      <c r="M84">
        <v>125</v>
      </c>
      <c r="N84">
        <v>100</v>
      </c>
      <c r="O84">
        <v>52</v>
      </c>
      <c r="P84">
        <v>59</v>
      </c>
      <c r="Q84">
        <v>78</v>
      </c>
      <c r="R84">
        <v>72</v>
      </c>
      <c r="S84">
        <v>60</v>
      </c>
      <c r="T84">
        <v>52</v>
      </c>
      <c r="U84">
        <v>76</v>
      </c>
      <c r="V84">
        <v>93</v>
      </c>
      <c r="W84">
        <v>206</v>
      </c>
      <c r="X84">
        <v>49</v>
      </c>
      <c r="Y84">
        <v>88</v>
      </c>
      <c r="Z84">
        <v>208</v>
      </c>
      <c r="AA84">
        <v>14</v>
      </c>
      <c r="AB84">
        <v>10</v>
      </c>
      <c r="AC84">
        <v>33</v>
      </c>
      <c r="AD84">
        <v>31</v>
      </c>
      <c r="AE84">
        <v>947</v>
      </c>
      <c r="AF84">
        <v>316</v>
      </c>
    </row>
    <row r="85" spans="1:32" x14ac:dyDescent="0.3">
      <c r="A85">
        <v>2025</v>
      </c>
      <c r="B85">
        <v>9</v>
      </c>
      <c r="C85" t="s">
        <v>43</v>
      </c>
      <c r="D85" t="s">
        <v>32</v>
      </c>
      <c r="E85">
        <v>34</v>
      </c>
      <c r="F85">
        <v>0.59</v>
      </c>
      <c r="G85">
        <f t="shared" si="2"/>
        <v>1.0294117647058822</v>
      </c>
      <c r="H85">
        <v>35</v>
      </c>
      <c r="I85">
        <v>32.549999999999997</v>
      </c>
      <c r="J85">
        <v>57</v>
      </c>
      <c r="K85">
        <v>68</v>
      </c>
      <c r="L85">
        <v>82</v>
      </c>
      <c r="M85">
        <v>52</v>
      </c>
      <c r="N85">
        <v>92</v>
      </c>
      <c r="O85">
        <v>32</v>
      </c>
      <c r="P85">
        <v>111</v>
      </c>
      <c r="Q85">
        <v>30</v>
      </c>
      <c r="R85">
        <v>90</v>
      </c>
      <c r="S85">
        <v>72</v>
      </c>
      <c r="T85">
        <v>106</v>
      </c>
      <c r="U85">
        <v>83</v>
      </c>
      <c r="V85">
        <v>51</v>
      </c>
      <c r="W85">
        <v>230</v>
      </c>
      <c r="X85">
        <v>149</v>
      </c>
      <c r="Y85">
        <v>115</v>
      </c>
      <c r="Z85">
        <v>89</v>
      </c>
      <c r="AA85">
        <v>136</v>
      </c>
      <c r="AB85">
        <v>9</v>
      </c>
      <c r="AC85">
        <v>136</v>
      </c>
      <c r="AD85">
        <v>112</v>
      </c>
      <c r="AE85">
        <v>43</v>
      </c>
      <c r="AF85">
        <v>86</v>
      </c>
    </row>
    <row r="86" spans="1:32" x14ac:dyDescent="0.3">
      <c r="A86">
        <v>2025</v>
      </c>
      <c r="B86">
        <v>10</v>
      </c>
      <c r="C86" t="s">
        <v>44</v>
      </c>
      <c r="D86" t="s">
        <v>34</v>
      </c>
      <c r="E86">
        <v>101</v>
      </c>
      <c r="F86">
        <v>0.52</v>
      </c>
      <c r="G86">
        <f t="shared" si="2"/>
        <v>1.5470297029702971</v>
      </c>
      <c r="H86">
        <v>156.25</v>
      </c>
      <c r="I86">
        <v>57.75</v>
      </c>
      <c r="J86">
        <v>38</v>
      </c>
      <c r="K86">
        <v>100</v>
      </c>
      <c r="L86">
        <v>80</v>
      </c>
      <c r="M86">
        <v>68</v>
      </c>
      <c r="N86">
        <v>111</v>
      </c>
      <c r="O86">
        <v>85</v>
      </c>
      <c r="P86">
        <v>62</v>
      </c>
      <c r="Q86">
        <v>52</v>
      </c>
      <c r="R86">
        <v>65</v>
      </c>
      <c r="S86">
        <v>29</v>
      </c>
      <c r="T86">
        <v>117</v>
      </c>
      <c r="U86">
        <v>105</v>
      </c>
      <c r="V86">
        <v>106</v>
      </c>
      <c r="W86">
        <v>257</v>
      </c>
      <c r="X86">
        <v>98</v>
      </c>
      <c r="Y86">
        <v>83</v>
      </c>
      <c r="Z86">
        <v>28</v>
      </c>
      <c r="AA86">
        <v>194</v>
      </c>
      <c r="AB86">
        <v>143</v>
      </c>
      <c r="AC86">
        <v>157</v>
      </c>
      <c r="AD86">
        <v>52</v>
      </c>
      <c r="AE86">
        <v>326</v>
      </c>
      <c r="AF86">
        <v>329</v>
      </c>
    </row>
    <row r="87" spans="1:32" x14ac:dyDescent="0.3">
      <c r="A87">
        <v>2025</v>
      </c>
      <c r="B87">
        <v>10</v>
      </c>
      <c r="C87" t="s">
        <v>44</v>
      </c>
      <c r="D87" t="s">
        <v>34</v>
      </c>
      <c r="E87">
        <v>124</v>
      </c>
      <c r="F87">
        <v>0.22</v>
      </c>
      <c r="G87">
        <f t="shared" si="2"/>
        <v>0.28225806451612906</v>
      </c>
      <c r="H87">
        <v>35</v>
      </c>
      <c r="I87">
        <v>53.55</v>
      </c>
      <c r="J87">
        <v>30</v>
      </c>
      <c r="K87">
        <v>106</v>
      </c>
      <c r="L87">
        <v>87</v>
      </c>
      <c r="M87">
        <v>125</v>
      </c>
      <c r="N87">
        <v>37</v>
      </c>
      <c r="O87">
        <v>54</v>
      </c>
      <c r="P87">
        <v>48</v>
      </c>
      <c r="Q87">
        <v>38</v>
      </c>
      <c r="R87">
        <v>70</v>
      </c>
      <c r="S87">
        <v>104</v>
      </c>
      <c r="T87">
        <v>96</v>
      </c>
      <c r="U87">
        <v>32</v>
      </c>
      <c r="V87">
        <v>112</v>
      </c>
      <c r="W87">
        <v>36</v>
      </c>
      <c r="X87">
        <v>343</v>
      </c>
      <c r="Y87">
        <v>303</v>
      </c>
      <c r="Z87">
        <v>312</v>
      </c>
      <c r="AA87">
        <v>637</v>
      </c>
      <c r="AB87">
        <v>363</v>
      </c>
      <c r="AC87">
        <v>156</v>
      </c>
      <c r="AD87">
        <v>16</v>
      </c>
      <c r="AE87">
        <v>21</v>
      </c>
      <c r="AF87">
        <v>40</v>
      </c>
    </row>
    <row r="88" spans="1:32" x14ac:dyDescent="0.3">
      <c r="A88">
        <v>2025</v>
      </c>
      <c r="B88">
        <v>10</v>
      </c>
      <c r="C88" t="s">
        <v>44</v>
      </c>
      <c r="D88" t="s">
        <v>33</v>
      </c>
      <c r="E88">
        <v>88</v>
      </c>
      <c r="F88">
        <v>0.22</v>
      </c>
      <c r="G88">
        <f t="shared" si="2"/>
        <v>0.41193181818181818</v>
      </c>
      <c r="H88">
        <v>36.25</v>
      </c>
      <c r="I88">
        <v>54.6</v>
      </c>
      <c r="J88">
        <v>84</v>
      </c>
      <c r="K88">
        <v>72</v>
      </c>
      <c r="L88">
        <v>73</v>
      </c>
      <c r="M88">
        <v>34</v>
      </c>
      <c r="N88">
        <v>48</v>
      </c>
      <c r="O88">
        <v>72</v>
      </c>
      <c r="P88">
        <v>92</v>
      </c>
      <c r="Q88">
        <v>87</v>
      </c>
      <c r="R88">
        <v>96</v>
      </c>
      <c r="S88">
        <v>57</v>
      </c>
      <c r="T88">
        <v>67</v>
      </c>
      <c r="U88">
        <v>138</v>
      </c>
      <c r="V88">
        <v>126</v>
      </c>
      <c r="W88">
        <v>78</v>
      </c>
      <c r="X88">
        <v>192</v>
      </c>
      <c r="Y88">
        <v>64</v>
      </c>
      <c r="Z88">
        <v>71</v>
      </c>
      <c r="AA88">
        <v>425</v>
      </c>
      <c r="AB88">
        <v>228</v>
      </c>
      <c r="AC88">
        <v>127</v>
      </c>
      <c r="AD88">
        <v>78</v>
      </c>
      <c r="AE88">
        <v>78</v>
      </c>
      <c r="AF88">
        <v>162</v>
      </c>
    </row>
    <row r="89" spans="1:32" x14ac:dyDescent="0.3">
      <c r="A89">
        <v>2025</v>
      </c>
      <c r="B89">
        <v>10</v>
      </c>
      <c r="C89" t="s">
        <v>44</v>
      </c>
      <c r="D89" t="s">
        <v>36</v>
      </c>
      <c r="E89">
        <v>86</v>
      </c>
      <c r="F89">
        <v>0.23</v>
      </c>
      <c r="G89">
        <f t="shared" si="2"/>
        <v>1.5843023255813953</v>
      </c>
      <c r="H89">
        <v>136.25</v>
      </c>
      <c r="I89">
        <v>17.850000000000001</v>
      </c>
      <c r="J89">
        <v>71</v>
      </c>
      <c r="K89">
        <v>123</v>
      </c>
      <c r="L89">
        <v>99</v>
      </c>
      <c r="M89">
        <v>60</v>
      </c>
      <c r="N89">
        <v>79</v>
      </c>
      <c r="O89">
        <v>91</v>
      </c>
      <c r="P89">
        <v>46</v>
      </c>
      <c r="Q89">
        <v>93</v>
      </c>
      <c r="R89">
        <v>113</v>
      </c>
      <c r="S89">
        <v>74</v>
      </c>
      <c r="T89">
        <v>41</v>
      </c>
      <c r="U89">
        <v>107</v>
      </c>
      <c r="V89">
        <v>96</v>
      </c>
      <c r="W89">
        <v>34</v>
      </c>
      <c r="X89">
        <v>135</v>
      </c>
      <c r="Y89">
        <v>306</v>
      </c>
      <c r="Z89">
        <v>170</v>
      </c>
      <c r="AA89">
        <v>68</v>
      </c>
      <c r="AB89">
        <v>110</v>
      </c>
      <c r="AC89">
        <v>46</v>
      </c>
      <c r="AD89">
        <v>7</v>
      </c>
      <c r="AE89">
        <v>60</v>
      </c>
      <c r="AF89">
        <v>249</v>
      </c>
    </row>
    <row r="90" spans="1:32" x14ac:dyDescent="0.3">
      <c r="A90">
        <v>2025</v>
      </c>
      <c r="B90">
        <v>11</v>
      </c>
      <c r="C90" t="s">
        <v>45</v>
      </c>
      <c r="D90" t="s">
        <v>33</v>
      </c>
      <c r="E90">
        <v>59</v>
      </c>
      <c r="F90">
        <v>0.64</v>
      </c>
      <c r="G90">
        <f t="shared" si="2"/>
        <v>0.93220338983050843</v>
      </c>
      <c r="H90">
        <v>55</v>
      </c>
      <c r="I90">
        <v>29.4</v>
      </c>
      <c r="J90">
        <v>125</v>
      </c>
      <c r="K90">
        <v>106</v>
      </c>
      <c r="L90">
        <v>74</v>
      </c>
      <c r="M90">
        <v>60</v>
      </c>
      <c r="N90">
        <v>115</v>
      </c>
      <c r="O90">
        <v>103</v>
      </c>
      <c r="P90">
        <v>88</v>
      </c>
      <c r="Q90">
        <v>41</v>
      </c>
      <c r="R90">
        <v>100</v>
      </c>
      <c r="S90">
        <v>103</v>
      </c>
      <c r="T90">
        <v>138</v>
      </c>
      <c r="U90">
        <v>43</v>
      </c>
      <c r="V90">
        <v>99</v>
      </c>
      <c r="W90">
        <v>100</v>
      </c>
      <c r="X90">
        <v>283</v>
      </c>
      <c r="Y90">
        <v>76</v>
      </c>
      <c r="Z90">
        <v>71</v>
      </c>
      <c r="AA90">
        <v>23</v>
      </c>
      <c r="AB90">
        <v>311</v>
      </c>
      <c r="AC90">
        <v>52</v>
      </c>
      <c r="AD90">
        <v>32</v>
      </c>
      <c r="AE90">
        <v>25</v>
      </c>
      <c r="AF90">
        <v>55</v>
      </c>
    </row>
    <row r="91" spans="1:32" x14ac:dyDescent="0.3">
      <c r="A91">
        <v>2025</v>
      </c>
      <c r="B91">
        <v>11</v>
      </c>
      <c r="C91" t="s">
        <v>45</v>
      </c>
      <c r="D91" t="s">
        <v>33</v>
      </c>
      <c r="E91">
        <v>40</v>
      </c>
      <c r="F91">
        <v>0.68</v>
      </c>
      <c r="G91">
        <f t="shared" si="2"/>
        <v>3</v>
      </c>
      <c r="H91">
        <v>120</v>
      </c>
      <c r="I91">
        <v>33.6</v>
      </c>
      <c r="J91">
        <v>52</v>
      </c>
      <c r="K91">
        <v>64</v>
      </c>
      <c r="L91">
        <v>67</v>
      </c>
      <c r="M91">
        <v>77</v>
      </c>
      <c r="N91">
        <v>69</v>
      </c>
      <c r="O91">
        <v>127</v>
      </c>
      <c r="P91">
        <v>68</v>
      </c>
      <c r="Q91">
        <v>91</v>
      </c>
      <c r="R91">
        <v>69</v>
      </c>
      <c r="S91">
        <v>113</v>
      </c>
      <c r="T91">
        <v>102</v>
      </c>
      <c r="U91">
        <v>63</v>
      </c>
      <c r="V91">
        <v>65</v>
      </c>
      <c r="W91">
        <v>64</v>
      </c>
      <c r="X91">
        <v>116</v>
      </c>
      <c r="Y91">
        <v>90</v>
      </c>
      <c r="Z91">
        <v>23</v>
      </c>
      <c r="AA91">
        <v>28</v>
      </c>
      <c r="AB91">
        <v>196</v>
      </c>
      <c r="AC91">
        <v>175</v>
      </c>
      <c r="AD91">
        <v>18</v>
      </c>
      <c r="AE91">
        <v>158</v>
      </c>
      <c r="AF91">
        <v>255</v>
      </c>
    </row>
    <row r="92" spans="1:32" x14ac:dyDescent="0.3">
      <c r="A92">
        <v>2025</v>
      </c>
      <c r="B92">
        <v>11</v>
      </c>
      <c r="C92" t="s">
        <v>45</v>
      </c>
      <c r="D92" t="s">
        <v>34</v>
      </c>
      <c r="E92">
        <v>61</v>
      </c>
      <c r="F92">
        <v>0.53</v>
      </c>
      <c r="G92">
        <f t="shared" si="2"/>
        <v>1.9262295081967213</v>
      </c>
      <c r="H92">
        <v>117.5</v>
      </c>
      <c r="I92">
        <v>61.95</v>
      </c>
      <c r="J92">
        <v>75</v>
      </c>
      <c r="K92">
        <v>73</v>
      </c>
      <c r="L92">
        <v>52</v>
      </c>
      <c r="M92">
        <v>100</v>
      </c>
      <c r="N92">
        <v>92</v>
      </c>
      <c r="O92">
        <v>36</v>
      </c>
      <c r="P92">
        <v>81</v>
      </c>
      <c r="Q92">
        <v>95</v>
      </c>
      <c r="R92">
        <v>67</v>
      </c>
      <c r="S92">
        <v>77</v>
      </c>
      <c r="T92">
        <v>66</v>
      </c>
      <c r="U92">
        <v>105</v>
      </c>
      <c r="V92">
        <v>118</v>
      </c>
      <c r="W92">
        <v>140</v>
      </c>
      <c r="X92">
        <v>151</v>
      </c>
      <c r="Y92">
        <v>96</v>
      </c>
      <c r="Z92">
        <v>377</v>
      </c>
      <c r="AA92">
        <v>200</v>
      </c>
      <c r="AB92">
        <v>76</v>
      </c>
      <c r="AC92">
        <v>77</v>
      </c>
      <c r="AD92">
        <v>176</v>
      </c>
      <c r="AE92">
        <v>220</v>
      </c>
      <c r="AF92">
        <v>58</v>
      </c>
    </row>
    <row r="93" spans="1:32" x14ac:dyDescent="0.3">
      <c r="A93">
        <v>2025</v>
      </c>
      <c r="B93">
        <v>11</v>
      </c>
      <c r="C93" t="s">
        <v>45</v>
      </c>
      <c r="D93" t="s">
        <v>33</v>
      </c>
      <c r="E93">
        <v>122</v>
      </c>
      <c r="F93">
        <v>0.44000000000000006</v>
      </c>
      <c r="G93">
        <f t="shared" si="2"/>
        <v>0.81967213114754101</v>
      </c>
      <c r="H93">
        <v>100</v>
      </c>
      <c r="I93">
        <v>18.899999999999999</v>
      </c>
      <c r="J93">
        <v>134</v>
      </c>
      <c r="K93">
        <v>62</v>
      </c>
      <c r="L93">
        <v>122</v>
      </c>
      <c r="M93">
        <v>73</v>
      </c>
      <c r="N93">
        <v>86</v>
      </c>
      <c r="O93">
        <v>101</v>
      </c>
      <c r="P93">
        <v>68</v>
      </c>
      <c r="Q93">
        <v>62</v>
      </c>
      <c r="R93">
        <v>41</v>
      </c>
      <c r="S93">
        <v>88</v>
      </c>
      <c r="T93">
        <v>53</v>
      </c>
      <c r="U93">
        <v>103</v>
      </c>
      <c r="V93">
        <v>78</v>
      </c>
      <c r="W93">
        <v>49</v>
      </c>
      <c r="X93">
        <v>357</v>
      </c>
      <c r="Y93">
        <v>15</v>
      </c>
      <c r="Z93">
        <v>178</v>
      </c>
      <c r="AA93">
        <v>14</v>
      </c>
      <c r="AB93">
        <v>182</v>
      </c>
      <c r="AC93">
        <v>166</v>
      </c>
      <c r="AD93">
        <v>11</v>
      </c>
      <c r="AE93">
        <v>77</v>
      </c>
      <c r="AF93">
        <v>233</v>
      </c>
    </row>
    <row r="94" spans="1:32" x14ac:dyDescent="0.3">
      <c r="A94">
        <v>2025</v>
      </c>
      <c r="B94">
        <v>12</v>
      </c>
      <c r="C94" t="s">
        <v>46</v>
      </c>
      <c r="D94" t="s">
        <v>36</v>
      </c>
      <c r="E94">
        <v>103</v>
      </c>
      <c r="F94">
        <v>0.54</v>
      </c>
      <c r="G94">
        <f t="shared" si="2"/>
        <v>0.6189320388349514</v>
      </c>
      <c r="H94">
        <v>63.75</v>
      </c>
      <c r="I94">
        <v>39.9</v>
      </c>
      <c r="J94">
        <v>83</v>
      </c>
      <c r="K94">
        <v>112</v>
      </c>
      <c r="L94">
        <v>92</v>
      </c>
      <c r="M94">
        <v>73</v>
      </c>
      <c r="N94">
        <v>112</v>
      </c>
      <c r="O94">
        <v>75</v>
      </c>
      <c r="P94">
        <v>60</v>
      </c>
      <c r="Q94">
        <v>127</v>
      </c>
      <c r="R94">
        <v>111</v>
      </c>
      <c r="S94">
        <v>53</v>
      </c>
      <c r="T94">
        <v>55</v>
      </c>
      <c r="U94">
        <v>67</v>
      </c>
      <c r="V94">
        <v>95</v>
      </c>
      <c r="W94">
        <v>146</v>
      </c>
      <c r="X94">
        <v>85</v>
      </c>
      <c r="Y94">
        <v>154</v>
      </c>
      <c r="Z94">
        <v>177</v>
      </c>
      <c r="AA94">
        <v>330</v>
      </c>
      <c r="AB94">
        <v>191</v>
      </c>
      <c r="AC94">
        <v>93</v>
      </c>
      <c r="AD94">
        <v>6</v>
      </c>
      <c r="AE94">
        <v>209</v>
      </c>
      <c r="AF94">
        <v>315</v>
      </c>
    </row>
    <row r="95" spans="1:32" x14ac:dyDescent="0.3">
      <c r="A95">
        <v>2025</v>
      </c>
      <c r="B95">
        <v>12</v>
      </c>
      <c r="C95" t="s">
        <v>46</v>
      </c>
      <c r="D95" t="s">
        <v>32</v>
      </c>
      <c r="E95">
        <v>31</v>
      </c>
      <c r="F95">
        <v>0.28000000000000003</v>
      </c>
      <c r="G95">
        <f t="shared" si="2"/>
        <v>1.4516129032258065</v>
      </c>
      <c r="H95">
        <v>45</v>
      </c>
      <c r="I95">
        <v>38.85</v>
      </c>
      <c r="J95">
        <v>122</v>
      </c>
      <c r="K95">
        <v>27</v>
      </c>
      <c r="L95">
        <v>82</v>
      </c>
      <c r="M95">
        <v>46</v>
      </c>
      <c r="N95">
        <v>110</v>
      </c>
      <c r="O95">
        <v>56</v>
      </c>
      <c r="P95">
        <v>47</v>
      </c>
      <c r="Q95">
        <v>56</v>
      </c>
      <c r="R95">
        <v>43</v>
      </c>
      <c r="S95">
        <v>109</v>
      </c>
      <c r="T95">
        <v>46</v>
      </c>
      <c r="U95">
        <v>91</v>
      </c>
      <c r="V95">
        <v>70</v>
      </c>
      <c r="W95">
        <v>40</v>
      </c>
      <c r="X95">
        <v>74</v>
      </c>
      <c r="Y95">
        <v>48</v>
      </c>
      <c r="Z95">
        <v>365</v>
      </c>
      <c r="AA95">
        <v>54</v>
      </c>
      <c r="AB95">
        <v>15</v>
      </c>
      <c r="AC95">
        <v>292</v>
      </c>
      <c r="AD95">
        <v>22</v>
      </c>
      <c r="AE95">
        <v>35</v>
      </c>
      <c r="AF95">
        <v>38</v>
      </c>
    </row>
    <row r="96" spans="1:32" x14ac:dyDescent="0.3">
      <c r="A96">
        <v>2025</v>
      </c>
      <c r="B96">
        <v>12</v>
      </c>
      <c r="C96" t="s">
        <v>46</v>
      </c>
      <c r="D96" t="s">
        <v>34</v>
      </c>
      <c r="E96">
        <v>61</v>
      </c>
      <c r="F96">
        <v>0.30999999999999994</v>
      </c>
      <c r="G96">
        <f t="shared" si="2"/>
        <v>1.3319672131147542</v>
      </c>
      <c r="H96">
        <v>81.25</v>
      </c>
      <c r="I96">
        <v>21</v>
      </c>
      <c r="J96">
        <v>55</v>
      </c>
      <c r="K96">
        <v>48</v>
      </c>
      <c r="L96">
        <v>71</v>
      </c>
      <c r="M96">
        <v>82</v>
      </c>
      <c r="N96">
        <v>63</v>
      </c>
      <c r="O96">
        <v>50</v>
      </c>
      <c r="P96">
        <v>77</v>
      </c>
      <c r="Q96">
        <v>98</v>
      </c>
      <c r="R96">
        <v>64</v>
      </c>
      <c r="S96">
        <v>66</v>
      </c>
      <c r="T96">
        <v>65</v>
      </c>
      <c r="U96">
        <v>40</v>
      </c>
      <c r="V96">
        <v>110</v>
      </c>
      <c r="W96">
        <v>35</v>
      </c>
      <c r="X96">
        <v>678</v>
      </c>
      <c r="Y96">
        <v>38</v>
      </c>
      <c r="Z96">
        <v>39</v>
      </c>
      <c r="AA96">
        <v>231</v>
      </c>
      <c r="AB96">
        <v>206</v>
      </c>
      <c r="AC96">
        <v>143</v>
      </c>
      <c r="AD96">
        <v>23</v>
      </c>
      <c r="AE96">
        <v>235</v>
      </c>
      <c r="AF96">
        <v>33</v>
      </c>
    </row>
    <row r="97" spans="1:32" x14ac:dyDescent="0.3">
      <c r="A97">
        <v>2025</v>
      </c>
      <c r="B97">
        <v>12</v>
      </c>
      <c r="C97" t="s">
        <v>46</v>
      </c>
      <c r="D97" t="s">
        <v>32</v>
      </c>
      <c r="E97">
        <v>66</v>
      </c>
      <c r="F97">
        <v>0.43000000000000005</v>
      </c>
      <c r="G97">
        <f t="shared" si="2"/>
        <v>0.5492424242424242</v>
      </c>
      <c r="H97">
        <v>36.25</v>
      </c>
      <c r="I97">
        <v>14.7</v>
      </c>
      <c r="J97">
        <v>115</v>
      </c>
      <c r="K97">
        <v>55</v>
      </c>
      <c r="L97">
        <v>121</v>
      </c>
      <c r="M97">
        <v>95</v>
      </c>
      <c r="N97">
        <v>63</v>
      </c>
      <c r="O97">
        <v>79</v>
      </c>
      <c r="P97">
        <v>53</v>
      </c>
      <c r="Q97">
        <v>61</v>
      </c>
      <c r="R97">
        <v>104</v>
      </c>
      <c r="S97">
        <v>125</v>
      </c>
      <c r="T97">
        <v>95</v>
      </c>
      <c r="U97">
        <v>43</v>
      </c>
      <c r="V97">
        <v>66</v>
      </c>
      <c r="W97">
        <v>262</v>
      </c>
      <c r="X97">
        <v>81</v>
      </c>
      <c r="Y97">
        <v>74</v>
      </c>
      <c r="Z97">
        <v>196</v>
      </c>
      <c r="AA97">
        <v>180</v>
      </c>
      <c r="AB97">
        <v>138</v>
      </c>
      <c r="AC97">
        <v>58</v>
      </c>
      <c r="AD97">
        <v>25</v>
      </c>
      <c r="AE97">
        <v>134</v>
      </c>
      <c r="AF97">
        <v>78</v>
      </c>
    </row>
    <row r="98" spans="1:32" x14ac:dyDescent="0.3">
      <c r="A98">
        <v>2024</v>
      </c>
      <c r="B98">
        <v>1</v>
      </c>
      <c r="C98" t="s">
        <v>31</v>
      </c>
      <c r="D98" t="s">
        <v>33</v>
      </c>
      <c r="E98">
        <v>82</v>
      </c>
      <c r="F98">
        <v>0.5</v>
      </c>
      <c r="G98">
        <f t="shared" ref="G98:G129" si="3">H98/E98</f>
        <v>1.2560975609756098</v>
      </c>
      <c r="H98">
        <v>103</v>
      </c>
      <c r="I98">
        <v>41</v>
      </c>
      <c r="J98">
        <v>88</v>
      </c>
      <c r="K98">
        <v>71</v>
      </c>
      <c r="L98">
        <v>52</v>
      </c>
      <c r="M98">
        <v>73</v>
      </c>
      <c r="N98">
        <v>79</v>
      </c>
      <c r="O98">
        <v>46</v>
      </c>
      <c r="P98">
        <v>42</v>
      </c>
      <c r="Q98">
        <v>37</v>
      </c>
      <c r="R98">
        <v>49</v>
      </c>
      <c r="S98">
        <v>104</v>
      </c>
      <c r="T98">
        <v>108</v>
      </c>
      <c r="U98">
        <v>51</v>
      </c>
      <c r="V98">
        <v>41</v>
      </c>
      <c r="W98">
        <v>118</v>
      </c>
      <c r="X98">
        <v>42</v>
      </c>
      <c r="Y98">
        <v>940</v>
      </c>
      <c r="Z98">
        <v>291</v>
      </c>
      <c r="AA98">
        <v>320</v>
      </c>
      <c r="AB98">
        <v>71</v>
      </c>
      <c r="AC98">
        <v>80</v>
      </c>
      <c r="AD98">
        <v>17</v>
      </c>
      <c r="AE98">
        <v>42</v>
      </c>
      <c r="AF98">
        <v>130</v>
      </c>
    </row>
    <row r="99" spans="1:32" x14ac:dyDescent="0.3">
      <c r="A99">
        <v>2024</v>
      </c>
      <c r="B99">
        <v>1</v>
      </c>
      <c r="C99" t="s">
        <v>31</v>
      </c>
      <c r="D99" t="s">
        <v>32</v>
      </c>
      <c r="E99">
        <v>56</v>
      </c>
      <c r="F99">
        <v>0.77</v>
      </c>
      <c r="G99">
        <f t="shared" si="3"/>
        <v>1.25</v>
      </c>
      <c r="H99">
        <v>70</v>
      </c>
      <c r="I99">
        <v>55</v>
      </c>
      <c r="J99">
        <v>74</v>
      </c>
      <c r="K99">
        <v>65</v>
      </c>
      <c r="L99">
        <v>117</v>
      </c>
      <c r="M99">
        <v>48</v>
      </c>
      <c r="N99">
        <v>50</v>
      </c>
      <c r="O99">
        <v>54</v>
      </c>
      <c r="P99">
        <v>87</v>
      </c>
      <c r="Q99">
        <v>61</v>
      </c>
      <c r="R99">
        <v>119</v>
      </c>
      <c r="S99">
        <v>54</v>
      </c>
      <c r="T99">
        <v>142</v>
      </c>
      <c r="U99">
        <v>128</v>
      </c>
      <c r="V99">
        <v>34</v>
      </c>
      <c r="W99">
        <v>126</v>
      </c>
      <c r="X99">
        <v>75</v>
      </c>
      <c r="Y99">
        <v>170</v>
      </c>
      <c r="Z99">
        <v>149</v>
      </c>
      <c r="AA99">
        <v>149</v>
      </c>
      <c r="AB99">
        <v>353</v>
      </c>
      <c r="AC99">
        <v>114</v>
      </c>
      <c r="AD99">
        <v>168</v>
      </c>
      <c r="AE99">
        <v>136</v>
      </c>
      <c r="AF99">
        <v>49</v>
      </c>
    </row>
    <row r="100" spans="1:32" x14ac:dyDescent="0.3">
      <c r="A100">
        <v>2024</v>
      </c>
      <c r="B100">
        <v>1</v>
      </c>
      <c r="C100" t="s">
        <v>31</v>
      </c>
      <c r="D100" t="s">
        <v>32</v>
      </c>
      <c r="E100">
        <v>76</v>
      </c>
      <c r="F100">
        <v>0.48</v>
      </c>
      <c r="G100">
        <f t="shared" si="3"/>
        <v>1.25</v>
      </c>
      <c r="H100">
        <v>95</v>
      </c>
      <c r="I100">
        <v>31</v>
      </c>
      <c r="J100">
        <v>44</v>
      </c>
      <c r="K100">
        <v>74</v>
      </c>
      <c r="L100">
        <v>84</v>
      </c>
      <c r="M100">
        <v>90</v>
      </c>
      <c r="N100">
        <v>79</v>
      </c>
      <c r="O100">
        <v>64</v>
      </c>
      <c r="P100">
        <v>35</v>
      </c>
      <c r="Q100">
        <v>126</v>
      </c>
      <c r="R100">
        <v>108</v>
      </c>
      <c r="S100">
        <v>61</v>
      </c>
      <c r="T100">
        <v>73</v>
      </c>
      <c r="U100">
        <v>72</v>
      </c>
      <c r="V100">
        <v>76</v>
      </c>
      <c r="W100">
        <v>66</v>
      </c>
      <c r="X100">
        <v>165</v>
      </c>
      <c r="Y100">
        <v>93</v>
      </c>
      <c r="Z100">
        <v>170</v>
      </c>
      <c r="AA100">
        <v>126</v>
      </c>
      <c r="AB100">
        <v>166</v>
      </c>
      <c r="AC100">
        <v>5</v>
      </c>
      <c r="AD100">
        <v>26</v>
      </c>
      <c r="AE100">
        <v>35</v>
      </c>
      <c r="AF100">
        <v>5</v>
      </c>
    </row>
    <row r="101" spans="1:32" x14ac:dyDescent="0.3">
      <c r="A101">
        <v>2024</v>
      </c>
      <c r="B101">
        <v>1</v>
      </c>
      <c r="C101" t="s">
        <v>31</v>
      </c>
      <c r="D101" t="s">
        <v>36</v>
      </c>
      <c r="E101">
        <v>114</v>
      </c>
      <c r="F101">
        <v>0.59</v>
      </c>
      <c r="G101">
        <f t="shared" si="3"/>
        <v>1.2456140350877194</v>
      </c>
      <c r="H101">
        <v>142</v>
      </c>
      <c r="I101">
        <v>42</v>
      </c>
      <c r="J101">
        <v>112</v>
      </c>
      <c r="K101">
        <v>55</v>
      </c>
      <c r="L101">
        <v>149</v>
      </c>
      <c r="M101">
        <v>51</v>
      </c>
      <c r="N101">
        <v>70</v>
      </c>
      <c r="O101">
        <v>37</v>
      </c>
      <c r="P101">
        <v>107</v>
      </c>
      <c r="Q101">
        <v>110</v>
      </c>
      <c r="R101">
        <v>66</v>
      </c>
      <c r="S101">
        <v>78</v>
      </c>
      <c r="T101">
        <v>92</v>
      </c>
      <c r="U101">
        <v>83</v>
      </c>
      <c r="V101">
        <v>39</v>
      </c>
      <c r="W101">
        <v>46</v>
      </c>
      <c r="X101">
        <v>161</v>
      </c>
      <c r="Y101">
        <v>223</v>
      </c>
      <c r="Z101">
        <v>277</v>
      </c>
      <c r="AA101">
        <v>50</v>
      </c>
      <c r="AB101">
        <v>114</v>
      </c>
      <c r="AC101">
        <v>150</v>
      </c>
      <c r="AD101">
        <v>179</v>
      </c>
      <c r="AE101">
        <v>66</v>
      </c>
      <c r="AF101">
        <v>183</v>
      </c>
    </row>
    <row r="102" spans="1:32" x14ac:dyDescent="0.3">
      <c r="A102">
        <v>2024</v>
      </c>
      <c r="B102">
        <v>2</v>
      </c>
      <c r="C102" t="s">
        <v>35</v>
      </c>
      <c r="D102" t="s">
        <v>32</v>
      </c>
      <c r="E102">
        <v>27</v>
      </c>
      <c r="F102">
        <v>0.62</v>
      </c>
      <c r="G102">
        <f t="shared" si="3"/>
        <v>4.2592592592592595</v>
      </c>
      <c r="H102">
        <v>115</v>
      </c>
      <c r="I102">
        <v>25</v>
      </c>
      <c r="J102">
        <v>81</v>
      </c>
      <c r="K102">
        <v>100</v>
      </c>
      <c r="L102">
        <v>46</v>
      </c>
      <c r="M102">
        <v>116</v>
      </c>
      <c r="N102">
        <v>106</v>
      </c>
      <c r="O102">
        <v>70</v>
      </c>
      <c r="P102">
        <v>106</v>
      </c>
      <c r="Q102">
        <v>101</v>
      </c>
      <c r="R102">
        <v>50</v>
      </c>
      <c r="S102">
        <v>30</v>
      </c>
      <c r="T102">
        <v>62</v>
      </c>
      <c r="U102">
        <v>87</v>
      </c>
      <c r="V102">
        <v>28</v>
      </c>
      <c r="W102">
        <v>150</v>
      </c>
      <c r="X102">
        <v>115</v>
      </c>
      <c r="Y102">
        <v>25</v>
      </c>
      <c r="Z102">
        <v>60</v>
      </c>
      <c r="AA102">
        <v>314</v>
      </c>
      <c r="AB102">
        <v>105</v>
      </c>
      <c r="AC102">
        <v>82</v>
      </c>
      <c r="AD102">
        <v>17</v>
      </c>
      <c r="AE102">
        <v>16</v>
      </c>
      <c r="AF102">
        <v>270</v>
      </c>
    </row>
    <row r="103" spans="1:32" x14ac:dyDescent="0.3">
      <c r="A103">
        <v>2024</v>
      </c>
      <c r="B103">
        <v>2</v>
      </c>
      <c r="C103" t="s">
        <v>35</v>
      </c>
      <c r="D103" t="s">
        <v>32</v>
      </c>
      <c r="E103">
        <v>35</v>
      </c>
      <c r="F103">
        <v>0.77</v>
      </c>
      <c r="G103">
        <f t="shared" si="3"/>
        <v>1.2285714285714286</v>
      </c>
      <c r="H103">
        <v>43</v>
      </c>
      <c r="I103">
        <v>22</v>
      </c>
      <c r="J103">
        <v>43</v>
      </c>
      <c r="K103">
        <v>62</v>
      </c>
      <c r="L103">
        <v>99</v>
      </c>
      <c r="M103">
        <v>78</v>
      </c>
      <c r="N103">
        <v>83</v>
      </c>
      <c r="O103">
        <v>82</v>
      </c>
      <c r="P103">
        <v>58</v>
      </c>
      <c r="Q103">
        <v>48</v>
      </c>
      <c r="R103">
        <v>94</v>
      </c>
      <c r="S103">
        <v>92</v>
      </c>
      <c r="T103">
        <v>100</v>
      </c>
      <c r="U103">
        <v>59</v>
      </c>
      <c r="V103">
        <v>60</v>
      </c>
      <c r="W103">
        <v>70</v>
      </c>
      <c r="X103">
        <v>198</v>
      </c>
      <c r="Y103">
        <v>67</v>
      </c>
      <c r="Z103">
        <v>189</v>
      </c>
      <c r="AA103">
        <v>19</v>
      </c>
      <c r="AB103">
        <v>237</v>
      </c>
      <c r="AC103">
        <v>56</v>
      </c>
      <c r="AD103">
        <v>67</v>
      </c>
      <c r="AE103">
        <v>28</v>
      </c>
      <c r="AF103">
        <v>100</v>
      </c>
    </row>
    <row r="104" spans="1:32" x14ac:dyDescent="0.3">
      <c r="A104">
        <v>2024</v>
      </c>
      <c r="B104">
        <v>2</v>
      </c>
      <c r="C104" t="s">
        <v>35</v>
      </c>
      <c r="D104" t="s">
        <v>34</v>
      </c>
      <c r="E104">
        <v>27</v>
      </c>
      <c r="F104">
        <v>0.48</v>
      </c>
      <c r="G104">
        <f t="shared" si="3"/>
        <v>3.8518518518518516</v>
      </c>
      <c r="H104">
        <v>104</v>
      </c>
      <c r="I104">
        <v>53</v>
      </c>
      <c r="J104">
        <v>93</v>
      </c>
      <c r="K104">
        <v>74</v>
      </c>
      <c r="L104">
        <v>98</v>
      </c>
      <c r="M104">
        <v>137</v>
      </c>
      <c r="N104">
        <v>46</v>
      </c>
      <c r="O104">
        <v>82</v>
      </c>
      <c r="P104">
        <v>58</v>
      </c>
      <c r="Q104">
        <v>76</v>
      </c>
      <c r="R104">
        <v>48</v>
      </c>
      <c r="S104">
        <v>91</v>
      </c>
      <c r="T104">
        <v>86</v>
      </c>
      <c r="U104">
        <v>126</v>
      </c>
      <c r="V104">
        <v>73</v>
      </c>
      <c r="W104">
        <v>172</v>
      </c>
      <c r="X104">
        <v>95</v>
      </c>
      <c r="Y104">
        <v>189</v>
      </c>
      <c r="Z104">
        <v>352</v>
      </c>
      <c r="AA104">
        <v>62</v>
      </c>
      <c r="AB104">
        <v>310</v>
      </c>
      <c r="AC104">
        <v>300</v>
      </c>
      <c r="AD104">
        <v>136</v>
      </c>
      <c r="AE104">
        <v>163</v>
      </c>
      <c r="AF104">
        <v>49</v>
      </c>
    </row>
    <row r="105" spans="1:32" x14ac:dyDescent="0.3">
      <c r="A105">
        <v>2024</v>
      </c>
      <c r="B105">
        <v>2</v>
      </c>
      <c r="C105" t="s">
        <v>35</v>
      </c>
      <c r="D105" t="s">
        <v>33</v>
      </c>
      <c r="E105">
        <v>47</v>
      </c>
      <c r="F105">
        <v>0.78</v>
      </c>
      <c r="G105">
        <f t="shared" si="3"/>
        <v>1.2553191489361701</v>
      </c>
      <c r="H105">
        <v>59</v>
      </c>
      <c r="I105">
        <v>16</v>
      </c>
      <c r="J105">
        <v>86</v>
      </c>
      <c r="K105">
        <v>92</v>
      </c>
      <c r="L105">
        <v>102</v>
      </c>
      <c r="M105">
        <v>107</v>
      </c>
      <c r="N105">
        <v>116</v>
      </c>
      <c r="O105">
        <v>105</v>
      </c>
      <c r="P105">
        <v>52</v>
      </c>
      <c r="Q105">
        <v>43</v>
      </c>
      <c r="R105">
        <v>77</v>
      </c>
      <c r="S105">
        <v>59</v>
      </c>
      <c r="T105">
        <v>53</v>
      </c>
      <c r="U105">
        <v>76</v>
      </c>
      <c r="V105">
        <v>85</v>
      </c>
      <c r="W105">
        <v>227</v>
      </c>
      <c r="X105">
        <v>112</v>
      </c>
      <c r="Y105">
        <v>292</v>
      </c>
      <c r="Z105">
        <v>84</v>
      </c>
      <c r="AA105">
        <v>102</v>
      </c>
      <c r="AB105">
        <v>28</v>
      </c>
      <c r="AC105">
        <v>341</v>
      </c>
      <c r="AD105">
        <v>66</v>
      </c>
      <c r="AE105">
        <v>72</v>
      </c>
      <c r="AF105">
        <v>532</v>
      </c>
    </row>
    <row r="106" spans="1:32" x14ac:dyDescent="0.3">
      <c r="A106">
        <v>2024</v>
      </c>
      <c r="B106">
        <v>3</v>
      </c>
      <c r="C106" t="s">
        <v>37</v>
      </c>
      <c r="D106" t="s">
        <v>34</v>
      </c>
      <c r="E106">
        <v>90</v>
      </c>
      <c r="F106">
        <v>0.59</v>
      </c>
      <c r="G106">
        <f t="shared" si="3"/>
        <v>1.2444444444444445</v>
      </c>
      <c r="H106">
        <v>112</v>
      </c>
      <c r="I106">
        <v>17</v>
      </c>
      <c r="J106">
        <v>50</v>
      </c>
      <c r="K106">
        <v>146</v>
      </c>
      <c r="L106">
        <v>71</v>
      </c>
      <c r="M106">
        <v>82</v>
      </c>
      <c r="N106">
        <v>142</v>
      </c>
      <c r="O106">
        <v>78</v>
      </c>
      <c r="P106">
        <v>96</v>
      </c>
      <c r="Q106">
        <v>80</v>
      </c>
      <c r="R106">
        <v>91</v>
      </c>
      <c r="S106">
        <v>78</v>
      </c>
      <c r="T106">
        <v>40</v>
      </c>
      <c r="U106">
        <v>53</v>
      </c>
      <c r="V106">
        <v>69</v>
      </c>
      <c r="W106">
        <v>642</v>
      </c>
      <c r="X106">
        <v>217</v>
      </c>
      <c r="Y106">
        <v>29</v>
      </c>
      <c r="Z106">
        <v>120</v>
      </c>
      <c r="AA106">
        <v>181</v>
      </c>
      <c r="AB106">
        <v>22</v>
      </c>
      <c r="AC106">
        <v>165</v>
      </c>
      <c r="AD106">
        <v>49</v>
      </c>
      <c r="AE106">
        <v>71</v>
      </c>
      <c r="AF106">
        <v>57</v>
      </c>
    </row>
    <row r="107" spans="1:32" x14ac:dyDescent="0.3">
      <c r="A107">
        <v>2024</v>
      </c>
      <c r="B107">
        <v>3</v>
      </c>
      <c r="C107" t="s">
        <v>37</v>
      </c>
      <c r="D107" t="s">
        <v>34</v>
      </c>
      <c r="E107">
        <v>64</v>
      </c>
      <c r="F107">
        <v>0.71</v>
      </c>
      <c r="G107">
        <f t="shared" si="3"/>
        <v>1.265625</v>
      </c>
      <c r="H107">
        <v>81</v>
      </c>
      <c r="I107">
        <v>13</v>
      </c>
      <c r="J107">
        <v>93</v>
      </c>
      <c r="K107">
        <v>89</v>
      </c>
      <c r="L107">
        <v>94</v>
      </c>
      <c r="M107">
        <v>66</v>
      </c>
      <c r="N107">
        <v>61</v>
      </c>
      <c r="O107">
        <v>40</v>
      </c>
      <c r="P107">
        <v>120</v>
      </c>
      <c r="Q107">
        <v>50</v>
      </c>
      <c r="R107">
        <v>113</v>
      </c>
      <c r="S107">
        <v>114</v>
      </c>
      <c r="T107">
        <v>113</v>
      </c>
      <c r="U107">
        <v>116</v>
      </c>
      <c r="V107">
        <v>18</v>
      </c>
      <c r="W107">
        <v>50</v>
      </c>
      <c r="X107">
        <v>49</v>
      </c>
      <c r="Y107">
        <v>166</v>
      </c>
      <c r="Z107">
        <v>138</v>
      </c>
      <c r="AA107">
        <v>127</v>
      </c>
      <c r="AB107">
        <v>55</v>
      </c>
      <c r="AC107">
        <v>32</v>
      </c>
      <c r="AD107">
        <v>120</v>
      </c>
      <c r="AE107">
        <v>29</v>
      </c>
      <c r="AF107">
        <v>163</v>
      </c>
    </row>
    <row r="108" spans="1:32" x14ac:dyDescent="0.3">
      <c r="A108">
        <v>2024</v>
      </c>
      <c r="B108">
        <v>3</v>
      </c>
      <c r="C108" t="s">
        <v>37</v>
      </c>
      <c r="D108" t="s">
        <v>34</v>
      </c>
      <c r="E108">
        <v>30</v>
      </c>
      <c r="F108">
        <v>0.55000000000000004</v>
      </c>
      <c r="G108">
        <f t="shared" si="3"/>
        <v>1.2666666666666666</v>
      </c>
      <c r="H108">
        <v>38</v>
      </c>
      <c r="I108">
        <v>14</v>
      </c>
      <c r="J108">
        <v>44</v>
      </c>
      <c r="K108">
        <v>84</v>
      </c>
      <c r="L108">
        <v>68</v>
      </c>
      <c r="M108">
        <v>33</v>
      </c>
      <c r="N108">
        <v>72</v>
      </c>
      <c r="O108">
        <v>112</v>
      </c>
      <c r="P108">
        <v>47</v>
      </c>
      <c r="Q108">
        <v>85</v>
      </c>
      <c r="R108">
        <v>98</v>
      </c>
      <c r="S108">
        <v>143</v>
      </c>
      <c r="T108">
        <v>100</v>
      </c>
      <c r="U108">
        <v>100</v>
      </c>
      <c r="V108">
        <v>72</v>
      </c>
      <c r="W108">
        <v>385</v>
      </c>
      <c r="X108">
        <v>108</v>
      </c>
      <c r="Y108">
        <v>389</v>
      </c>
      <c r="Z108">
        <v>20</v>
      </c>
      <c r="AA108">
        <v>83</v>
      </c>
      <c r="AB108">
        <v>73</v>
      </c>
      <c r="AC108">
        <v>55</v>
      </c>
      <c r="AD108">
        <v>80</v>
      </c>
      <c r="AE108">
        <v>282</v>
      </c>
      <c r="AF108">
        <v>354</v>
      </c>
    </row>
    <row r="109" spans="1:32" x14ac:dyDescent="0.3">
      <c r="A109">
        <v>2024</v>
      </c>
      <c r="B109">
        <v>3</v>
      </c>
      <c r="C109" t="s">
        <v>37</v>
      </c>
      <c r="D109" t="s">
        <v>34</v>
      </c>
      <c r="E109">
        <v>36</v>
      </c>
      <c r="F109">
        <v>0.68</v>
      </c>
      <c r="G109">
        <f t="shared" si="3"/>
        <v>1.2777777777777777</v>
      </c>
      <c r="H109">
        <v>46</v>
      </c>
      <c r="I109">
        <v>38</v>
      </c>
      <c r="J109">
        <v>51</v>
      </c>
      <c r="K109">
        <v>51</v>
      </c>
      <c r="L109">
        <v>59</v>
      </c>
      <c r="M109">
        <v>55</v>
      </c>
      <c r="N109">
        <v>63</v>
      </c>
      <c r="O109">
        <v>136</v>
      </c>
      <c r="P109">
        <v>36</v>
      </c>
      <c r="Q109">
        <v>134</v>
      </c>
      <c r="R109">
        <v>101</v>
      </c>
      <c r="S109">
        <v>97</v>
      </c>
      <c r="T109">
        <v>33</v>
      </c>
      <c r="U109">
        <v>81</v>
      </c>
      <c r="V109">
        <v>99</v>
      </c>
      <c r="W109">
        <v>126</v>
      </c>
      <c r="X109">
        <v>133</v>
      </c>
      <c r="Y109">
        <v>163</v>
      </c>
      <c r="Z109">
        <v>179</v>
      </c>
      <c r="AA109">
        <v>100</v>
      </c>
      <c r="AB109">
        <v>303</v>
      </c>
      <c r="AC109">
        <v>44</v>
      </c>
      <c r="AD109">
        <v>156</v>
      </c>
      <c r="AE109">
        <v>155</v>
      </c>
      <c r="AF109">
        <v>47</v>
      </c>
    </row>
    <row r="110" spans="1:32" x14ac:dyDescent="0.3">
      <c r="A110">
        <v>2024</v>
      </c>
      <c r="B110">
        <v>4</v>
      </c>
      <c r="C110" t="s">
        <v>38</v>
      </c>
      <c r="D110" t="s">
        <v>34</v>
      </c>
      <c r="E110">
        <v>58</v>
      </c>
      <c r="F110">
        <v>0.8</v>
      </c>
      <c r="G110">
        <f t="shared" si="3"/>
        <v>1.2586206896551724</v>
      </c>
      <c r="H110">
        <v>73</v>
      </c>
      <c r="I110">
        <v>28</v>
      </c>
      <c r="J110">
        <v>108</v>
      </c>
      <c r="K110">
        <v>67</v>
      </c>
      <c r="L110">
        <v>108</v>
      </c>
      <c r="M110">
        <v>75</v>
      </c>
      <c r="N110">
        <v>64</v>
      </c>
      <c r="O110">
        <v>50</v>
      </c>
      <c r="P110">
        <v>79</v>
      </c>
      <c r="Q110">
        <v>29</v>
      </c>
      <c r="R110">
        <v>123</v>
      </c>
      <c r="S110">
        <v>96</v>
      </c>
      <c r="T110">
        <v>77</v>
      </c>
      <c r="U110">
        <v>40</v>
      </c>
      <c r="V110">
        <v>58</v>
      </c>
      <c r="W110">
        <v>13</v>
      </c>
      <c r="X110">
        <v>120</v>
      </c>
      <c r="Y110">
        <v>74</v>
      </c>
      <c r="Z110">
        <v>220</v>
      </c>
      <c r="AA110">
        <v>259</v>
      </c>
      <c r="AB110">
        <v>320</v>
      </c>
      <c r="AC110">
        <v>65</v>
      </c>
      <c r="AD110">
        <v>335</v>
      </c>
      <c r="AE110">
        <v>81</v>
      </c>
      <c r="AF110">
        <v>10</v>
      </c>
    </row>
    <row r="111" spans="1:32" x14ac:dyDescent="0.3">
      <c r="A111">
        <v>2024</v>
      </c>
      <c r="B111">
        <v>4</v>
      </c>
      <c r="C111" t="s">
        <v>38</v>
      </c>
      <c r="D111" t="s">
        <v>32</v>
      </c>
      <c r="E111">
        <v>31</v>
      </c>
      <c r="F111">
        <v>0.46</v>
      </c>
      <c r="G111">
        <f t="shared" si="3"/>
        <v>1.2580645161290323</v>
      </c>
      <c r="H111">
        <v>39</v>
      </c>
      <c r="I111">
        <v>47</v>
      </c>
      <c r="J111">
        <v>83</v>
      </c>
      <c r="K111">
        <v>28</v>
      </c>
      <c r="L111">
        <v>69</v>
      </c>
      <c r="M111">
        <v>94</v>
      </c>
      <c r="N111">
        <v>54</v>
      </c>
      <c r="O111">
        <v>47</v>
      </c>
      <c r="P111">
        <v>52</v>
      </c>
      <c r="Q111">
        <v>43</v>
      </c>
      <c r="R111">
        <v>92</v>
      </c>
      <c r="S111">
        <v>74</v>
      </c>
      <c r="T111">
        <v>48</v>
      </c>
      <c r="U111">
        <v>143</v>
      </c>
      <c r="V111">
        <v>81</v>
      </c>
      <c r="W111">
        <v>50</v>
      </c>
      <c r="X111">
        <v>104</v>
      </c>
      <c r="Y111">
        <v>111</v>
      </c>
      <c r="Z111">
        <v>612</v>
      </c>
      <c r="AA111">
        <v>147</v>
      </c>
      <c r="AB111">
        <v>330</v>
      </c>
      <c r="AC111">
        <v>84</v>
      </c>
      <c r="AD111">
        <v>373</v>
      </c>
      <c r="AE111">
        <v>192</v>
      </c>
      <c r="AF111">
        <v>147</v>
      </c>
    </row>
    <row r="112" spans="1:32" x14ac:dyDescent="0.3">
      <c r="A112">
        <v>2024</v>
      </c>
      <c r="B112">
        <v>4</v>
      </c>
      <c r="C112" t="s">
        <v>38</v>
      </c>
      <c r="D112" t="s">
        <v>32</v>
      </c>
      <c r="E112">
        <v>54</v>
      </c>
      <c r="F112">
        <v>0.8</v>
      </c>
      <c r="G112">
        <f t="shared" si="3"/>
        <v>1.2592592592592593</v>
      </c>
      <c r="H112">
        <v>68</v>
      </c>
      <c r="I112">
        <v>51</v>
      </c>
      <c r="J112">
        <v>40</v>
      </c>
      <c r="K112">
        <v>71</v>
      </c>
      <c r="L112">
        <v>63</v>
      </c>
      <c r="M112">
        <v>89</v>
      </c>
      <c r="N112">
        <v>102</v>
      </c>
      <c r="O112">
        <v>56</v>
      </c>
      <c r="P112">
        <v>74</v>
      </c>
      <c r="Q112">
        <v>121</v>
      </c>
      <c r="R112">
        <v>53</v>
      </c>
      <c r="S112">
        <v>95</v>
      </c>
      <c r="T112">
        <v>34</v>
      </c>
      <c r="U112">
        <v>86</v>
      </c>
      <c r="V112">
        <v>86</v>
      </c>
      <c r="W112">
        <v>64</v>
      </c>
      <c r="X112">
        <v>84</v>
      </c>
      <c r="Y112">
        <v>255</v>
      </c>
      <c r="Z112">
        <v>49</v>
      </c>
      <c r="AA112">
        <v>48</v>
      </c>
      <c r="AB112">
        <v>20</v>
      </c>
      <c r="AC112">
        <v>115</v>
      </c>
      <c r="AD112">
        <v>292</v>
      </c>
      <c r="AE112">
        <v>44</v>
      </c>
      <c r="AF112">
        <v>133</v>
      </c>
    </row>
    <row r="113" spans="1:32" x14ac:dyDescent="0.3">
      <c r="A113">
        <v>2024</v>
      </c>
      <c r="B113">
        <v>4</v>
      </c>
      <c r="C113" t="s">
        <v>38</v>
      </c>
      <c r="D113" t="s">
        <v>32</v>
      </c>
      <c r="E113">
        <v>51</v>
      </c>
      <c r="F113">
        <v>0.72</v>
      </c>
      <c r="G113">
        <f t="shared" si="3"/>
        <v>1.2549019607843137</v>
      </c>
      <c r="H113">
        <v>64</v>
      </c>
      <c r="I113">
        <v>34</v>
      </c>
      <c r="J113">
        <v>79</v>
      </c>
      <c r="K113">
        <v>56</v>
      </c>
      <c r="L113">
        <v>96</v>
      </c>
      <c r="M113">
        <v>95</v>
      </c>
      <c r="N113">
        <v>82</v>
      </c>
      <c r="O113">
        <v>79</v>
      </c>
      <c r="P113">
        <v>56</v>
      </c>
      <c r="Q113">
        <v>34</v>
      </c>
      <c r="R113">
        <v>133</v>
      </c>
      <c r="S113">
        <v>64</v>
      </c>
      <c r="T113">
        <v>142</v>
      </c>
      <c r="U113">
        <v>82</v>
      </c>
      <c r="V113">
        <v>38</v>
      </c>
      <c r="W113">
        <v>127</v>
      </c>
      <c r="X113">
        <v>54</v>
      </c>
      <c r="Y113">
        <v>408</v>
      </c>
      <c r="Z113">
        <v>90</v>
      </c>
      <c r="AA113">
        <v>36</v>
      </c>
      <c r="AB113">
        <v>27</v>
      </c>
      <c r="AC113">
        <v>248</v>
      </c>
      <c r="AD113">
        <v>199</v>
      </c>
      <c r="AE113">
        <v>448</v>
      </c>
      <c r="AF113">
        <v>397</v>
      </c>
    </row>
    <row r="114" spans="1:32" x14ac:dyDescent="0.3">
      <c r="A114">
        <v>2024</v>
      </c>
      <c r="B114">
        <v>5</v>
      </c>
      <c r="C114" t="s">
        <v>39</v>
      </c>
      <c r="D114" t="s">
        <v>36</v>
      </c>
      <c r="E114">
        <v>42</v>
      </c>
      <c r="F114">
        <v>0.67</v>
      </c>
      <c r="G114">
        <f t="shared" si="3"/>
        <v>1.2380952380952381</v>
      </c>
      <c r="H114">
        <v>52</v>
      </c>
      <c r="I114">
        <v>39</v>
      </c>
      <c r="J114">
        <v>85</v>
      </c>
      <c r="K114">
        <v>55</v>
      </c>
      <c r="L114">
        <v>97</v>
      </c>
      <c r="M114">
        <v>61</v>
      </c>
      <c r="N114">
        <v>138</v>
      </c>
      <c r="O114">
        <v>38</v>
      </c>
      <c r="P114">
        <v>56</v>
      </c>
      <c r="Q114">
        <v>81</v>
      </c>
      <c r="R114">
        <v>100</v>
      </c>
      <c r="S114">
        <v>49</v>
      </c>
      <c r="T114">
        <v>70</v>
      </c>
      <c r="U114">
        <v>46</v>
      </c>
      <c r="V114">
        <v>102</v>
      </c>
      <c r="W114">
        <v>197</v>
      </c>
      <c r="X114">
        <v>69</v>
      </c>
      <c r="Y114">
        <v>66</v>
      </c>
      <c r="Z114">
        <v>158</v>
      </c>
      <c r="AA114">
        <v>84</v>
      </c>
      <c r="AB114">
        <v>110</v>
      </c>
      <c r="AC114">
        <v>104</v>
      </c>
      <c r="AD114">
        <v>182</v>
      </c>
      <c r="AE114">
        <v>217</v>
      </c>
      <c r="AF114">
        <v>115</v>
      </c>
    </row>
    <row r="115" spans="1:32" x14ac:dyDescent="0.3">
      <c r="A115">
        <v>2024</v>
      </c>
      <c r="B115">
        <v>5</v>
      </c>
      <c r="C115" t="s">
        <v>39</v>
      </c>
      <c r="D115" t="s">
        <v>36</v>
      </c>
      <c r="E115">
        <v>44</v>
      </c>
      <c r="F115">
        <v>0.46</v>
      </c>
      <c r="G115">
        <f t="shared" si="3"/>
        <v>1.25</v>
      </c>
      <c r="H115">
        <v>55</v>
      </c>
      <c r="I115">
        <v>13</v>
      </c>
      <c r="J115">
        <v>116</v>
      </c>
      <c r="K115">
        <v>65</v>
      </c>
      <c r="L115">
        <v>107</v>
      </c>
      <c r="M115">
        <v>37</v>
      </c>
      <c r="N115">
        <v>66</v>
      </c>
      <c r="O115">
        <v>84</v>
      </c>
      <c r="P115">
        <v>111</v>
      </c>
      <c r="Q115">
        <v>37</v>
      </c>
      <c r="R115">
        <v>113</v>
      </c>
      <c r="S115">
        <v>67</v>
      </c>
      <c r="T115">
        <v>36</v>
      </c>
      <c r="U115">
        <v>38</v>
      </c>
      <c r="V115">
        <v>65</v>
      </c>
      <c r="W115">
        <v>202</v>
      </c>
      <c r="X115">
        <v>82</v>
      </c>
      <c r="Y115">
        <v>207</v>
      </c>
      <c r="Z115">
        <v>17</v>
      </c>
      <c r="AA115">
        <v>28</v>
      </c>
      <c r="AB115">
        <v>157</v>
      </c>
      <c r="AC115">
        <v>120</v>
      </c>
      <c r="AD115">
        <v>76</v>
      </c>
      <c r="AE115">
        <v>187</v>
      </c>
      <c r="AF115">
        <v>252</v>
      </c>
    </row>
    <row r="116" spans="1:32" x14ac:dyDescent="0.3">
      <c r="A116">
        <v>2024</v>
      </c>
      <c r="B116">
        <v>5</v>
      </c>
      <c r="C116" t="s">
        <v>39</v>
      </c>
      <c r="D116" t="s">
        <v>32</v>
      </c>
      <c r="E116">
        <v>52</v>
      </c>
      <c r="F116">
        <v>0.51</v>
      </c>
      <c r="G116">
        <f t="shared" si="3"/>
        <v>1.25</v>
      </c>
      <c r="H116">
        <v>65</v>
      </c>
      <c r="I116">
        <v>20</v>
      </c>
      <c r="J116">
        <v>95</v>
      </c>
      <c r="K116">
        <v>108</v>
      </c>
      <c r="L116">
        <v>54</v>
      </c>
      <c r="M116">
        <v>37</v>
      </c>
      <c r="N116">
        <v>85</v>
      </c>
      <c r="O116">
        <v>130</v>
      </c>
      <c r="P116">
        <v>140</v>
      </c>
      <c r="Q116">
        <v>97</v>
      </c>
      <c r="R116">
        <v>108</v>
      </c>
      <c r="S116">
        <v>54</v>
      </c>
      <c r="T116">
        <v>77</v>
      </c>
      <c r="U116">
        <v>75</v>
      </c>
      <c r="V116">
        <v>87</v>
      </c>
      <c r="W116">
        <v>219</v>
      </c>
      <c r="X116">
        <v>53</v>
      </c>
      <c r="Y116">
        <v>232</v>
      </c>
      <c r="Z116">
        <v>240</v>
      </c>
      <c r="AA116">
        <v>376</v>
      </c>
      <c r="AB116">
        <v>34</v>
      </c>
      <c r="AC116">
        <v>136</v>
      </c>
      <c r="AD116">
        <v>33</v>
      </c>
      <c r="AE116">
        <v>173</v>
      </c>
      <c r="AF116">
        <v>94</v>
      </c>
    </row>
    <row r="117" spans="1:32" x14ac:dyDescent="0.3">
      <c r="A117">
        <v>2024</v>
      </c>
      <c r="B117">
        <v>5</v>
      </c>
      <c r="C117" t="s">
        <v>39</v>
      </c>
      <c r="D117" t="s">
        <v>33</v>
      </c>
      <c r="E117">
        <v>25</v>
      </c>
      <c r="F117">
        <v>0.59</v>
      </c>
      <c r="G117">
        <f t="shared" si="3"/>
        <v>1.24</v>
      </c>
      <c r="H117">
        <v>31</v>
      </c>
      <c r="I117">
        <v>24</v>
      </c>
      <c r="J117">
        <v>60</v>
      </c>
      <c r="K117">
        <v>94</v>
      </c>
      <c r="L117">
        <v>96</v>
      </c>
      <c r="M117">
        <v>51</v>
      </c>
      <c r="N117">
        <v>69</v>
      </c>
      <c r="O117">
        <v>68</v>
      </c>
      <c r="P117">
        <v>82</v>
      </c>
      <c r="Q117">
        <v>55</v>
      </c>
      <c r="R117">
        <v>40</v>
      </c>
      <c r="S117">
        <v>92</v>
      </c>
      <c r="T117">
        <v>64</v>
      </c>
      <c r="U117">
        <v>123</v>
      </c>
      <c r="V117">
        <v>14</v>
      </c>
      <c r="W117">
        <v>126</v>
      </c>
      <c r="X117">
        <v>113</v>
      </c>
      <c r="Y117">
        <v>38</v>
      </c>
      <c r="Z117">
        <v>35</v>
      </c>
      <c r="AA117">
        <v>60</v>
      </c>
      <c r="AB117">
        <v>86</v>
      </c>
      <c r="AC117">
        <v>109</v>
      </c>
      <c r="AD117">
        <v>99</v>
      </c>
      <c r="AE117">
        <v>167</v>
      </c>
      <c r="AF117">
        <v>308</v>
      </c>
    </row>
    <row r="118" spans="1:32" x14ac:dyDescent="0.3">
      <c r="A118">
        <v>2024</v>
      </c>
      <c r="B118">
        <v>6</v>
      </c>
      <c r="C118" t="s">
        <v>40</v>
      </c>
      <c r="D118" t="s">
        <v>33</v>
      </c>
      <c r="E118">
        <v>25</v>
      </c>
      <c r="F118">
        <v>0.48</v>
      </c>
      <c r="G118">
        <f t="shared" si="3"/>
        <v>1.24</v>
      </c>
      <c r="H118">
        <v>31</v>
      </c>
      <c r="I118">
        <v>51</v>
      </c>
      <c r="J118">
        <v>72</v>
      </c>
      <c r="K118">
        <v>63</v>
      </c>
      <c r="L118">
        <v>41</v>
      </c>
      <c r="M118">
        <v>67</v>
      </c>
      <c r="N118">
        <v>112</v>
      </c>
      <c r="O118">
        <v>80</v>
      </c>
      <c r="P118">
        <v>149</v>
      </c>
      <c r="Q118">
        <v>116</v>
      </c>
      <c r="R118">
        <v>88</v>
      </c>
      <c r="S118">
        <v>43</v>
      </c>
      <c r="T118">
        <v>52</v>
      </c>
      <c r="U118">
        <v>51</v>
      </c>
      <c r="V118">
        <v>18</v>
      </c>
      <c r="W118">
        <v>38</v>
      </c>
      <c r="X118">
        <v>85</v>
      </c>
      <c r="Y118">
        <v>146</v>
      </c>
      <c r="Z118">
        <v>133</v>
      </c>
      <c r="AA118">
        <v>464</v>
      </c>
      <c r="AB118">
        <v>36</v>
      </c>
      <c r="AC118">
        <v>304</v>
      </c>
      <c r="AD118">
        <v>138</v>
      </c>
      <c r="AE118">
        <v>20</v>
      </c>
      <c r="AF118">
        <v>47</v>
      </c>
    </row>
    <row r="119" spans="1:32" x14ac:dyDescent="0.3">
      <c r="A119">
        <v>2024</v>
      </c>
      <c r="B119">
        <v>6</v>
      </c>
      <c r="C119" t="s">
        <v>40</v>
      </c>
      <c r="D119" t="s">
        <v>34</v>
      </c>
      <c r="E119">
        <v>35</v>
      </c>
      <c r="F119">
        <v>0.75</v>
      </c>
      <c r="G119">
        <f t="shared" si="3"/>
        <v>1.2285714285714286</v>
      </c>
      <c r="H119">
        <v>43</v>
      </c>
      <c r="I119">
        <v>51</v>
      </c>
      <c r="J119">
        <v>82</v>
      </c>
      <c r="K119">
        <v>55</v>
      </c>
      <c r="L119">
        <v>70</v>
      </c>
      <c r="M119">
        <v>78</v>
      </c>
      <c r="N119">
        <v>63</v>
      </c>
      <c r="O119">
        <v>82</v>
      </c>
      <c r="P119">
        <v>55</v>
      </c>
      <c r="Q119">
        <v>71</v>
      </c>
      <c r="R119">
        <v>77</v>
      </c>
      <c r="S119">
        <v>86</v>
      </c>
      <c r="T119">
        <v>53</v>
      </c>
      <c r="U119">
        <v>86</v>
      </c>
      <c r="V119">
        <v>45</v>
      </c>
      <c r="W119">
        <v>34</v>
      </c>
      <c r="X119">
        <v>36</v>
      </c>
      <c r="Y119">
        <v>157</v>
      </c>
      <c r="Z119">
        <v>44</v>
      </c>
      <c r="AA119">
        <v>27</v>
      </c>
      <c r="AB119">
        <v>122</v>
      </c>
      <c r="AC119">
        <v>172</v>
      </c>
      <c r="AD119">
        <v>118</v>
      </c>
      <c r="AE119">
        <v>171</v>
      </c>
      <c r="AF119">
        <v>20</v>
      </c>
    </row>
    <row r="120" spans="1:32" x14ac:dyDescent="0.3">
      <c r="A120">
        <v>2024</v>
      </c>
      <c r="B120">
        <v>6</v>
      </c>
      <c r="C120" t="s">
        <v>40</v>
      </c>
      <c r="D120" t="s">
        <v>32</v>
      </c>
      <c r="E120">
        <v>35</v>
      </c>
      <c r="F120">
        <v>0.74</v>
      </c>
      <c r="G120">
        <f t="shared" si="3"/>
        <v>1.2285714285714286</v>
      </c>
      <c r="H120">
        <v>43</v>
      </c>
      <c r="I120">
        <v>20</v>
      </c>
      <c r="J120">
        <v>70</v>
      </c>
      <c r="K120">
        <v>115</v>
      </c>
      <c r="L120">
        <v>64</v>
      </c>
      <c r="M120">
        <v>77</v>
      </c>
      <c r="N120">
        <v>146</v>
      </c>
      <c r="O120">
        <v>99</v>
      </c>
      <c r="P120">
        <v>67</v>
      </c>
      <c r="Q120">
        <v>74</v>
      </c>
      <c r="R120">
        <v>68</v>
      </c>
      <c r="S120">
        <v>125</v>
      </c>
      <c r="T120">
        <v>111</v>
      </c>
      <c r="U120">
        <v>125</v>
      </c>
      <c r="V120">
        <v>87</v>
      </c>
      <c r="W120">
        <v>362</v>
      </c>
      <c r="X120">
        <v>81</v>
      </c>
      <c r="Y120">
        <v>170</v>
      </c>
      <c r="Z120">
        <v>177</v>
      </c>
      <c r="AA120">
        <v>91</v>
      </c>
      <c r="AB120">
        <v>153</v>
      </c>
      <c r="AC120">
        <v>100</v>
      </c>
      <c r="AD120">
        <v>115</v>
      </c>
      <c r="AE120">
        <v>106</v>
      </c>
      <c r="AF120">
        <v>22</v>
      </c>
    </row>
    <row r="121" spans="1:32" x14ac:dyDescent="0.3">
      <c r="A121">
        <v>2024</v>
      </c>
      <c r="B121">
        <v>6</v>
      </c>
      <c r="C121" t="s">
        <v>40</v>
      </c>
      <c r="D121" t="s">
        <v>32</v>
      </c>
      <c r="E121">
        <v>59</v>
      </c>
      <c r="F121">
        <v>0.59</v>
      </c>
      <c r="G121">
        <f t="shared" si="3"/>
        <v>1.2542372881355932</v>
      </c>
      <c r="H121">
        <v>74</v>
      </c>
      <c r="I121">
        <v>32</v>
      </c>
      <c r="J121">
        <v>71</v>
      </c>
      <c r="K121">
        <v>66</v>
      </c>
      <c r="L121">
        <v>86</v>
      </c>
      <c r="M121">
        <v>38</v>
      </c>
      <c r="N121">
        <v>84</v>
      </c>
      <c r="O121">
        <v>48</v>
      </c>
      <c r="P121">
        <v>90</v>
      </c>
      <c r="Q121">
        <v>100</v>
      </c>
      <c r="R121">
        <v>61</v>
      </c>
      <c r="S121">
        <v>92</v>
      </c>
      <c r="T121">
        <v>56</v>
      </c>
      <c r="U121">
        <v>94</v>
      </c>
      <c r="V121">
        <v>28</v>
      </c>
      <c r="W121">
        <v>223</v>
      </c>
      <c r="X121">
        <v>564</v>
      </c>
      <c r="Y121">
        <v>33</v>
      </c>
      <c r="Z121">
        <v>102</v>
      </c>
      <c r="AA121">
        <v>70</v>
      </c>
      <c r="AB121">
        <v>253</v>
      </c>
      <c r="AC121">
        <v>25</v>
      </c>
      <c r="AD121">
        <v>245</v>
      </c>
      <c r="AE121">
        <v>231</v>
      </c>
      <c r="AF121">
        <v>357</v>
      </c>
    </row>
    <row r="122" spans="1:32" x14ac:dyDescent="0.3">
      <c r="A122">
        <v>2024</v>
      </c>
      <c r="B122">
        <v>7</v>
      </c>
      <c r="C122" t="s">
        <v>41</v>
      </c>
      <c r="D122" t="s">
        <v>36</v>
      </c>
      <c r="E122">
        <v>83</v>
      </c>
      <c r="F122">
        <v>0.7</v>
      </c>
      <c r="G122">
        <f t="shared" si="3"/>
        <v>1.2530120481927711</v>
      </c>
      <c r="H122">
        <v>104</v>
      </c>
      <c r="I122">
        <v>19</v>
      </c>
      <c r="J122">
        <v>47</v>
      </c>
      <c r="K122">
        <v>78</v>
      </c>
      <c r="L122">
        <v>48</v>
      </c>
      <c r="M122">
        <v>98</v>
      </c>
      <c r="N122">
        <v>40</v>
      </c>
      <c r="O122">
        <v>103</v>
      </c>
      <c r="P122">
        <v>51</v>
      </c>
      <c r="Q122">
        <v>131</v>
      </c>
      <c r="R122">
        <v>56</v>
      </c>
      <c r="S122">
        <v>88</v>
      </c>
      <c r="T122">
        <v>107</v>
      </c>
      <c r="U122">
        <v>75</v>
      </c>
      <c r="V122">
        <v>25</v>
      </c>
      <c r="W122">
        <v>63</v>
      </c>
      <c r="X122">
        <v>5</v>
      </c>
      <c r="Y122">
        <v>29</v>
      </c>
      <c r="Z122">
        <v>84</v>
      </c>
      <c r="AA122">
        <v>173</v>
      </c>
      <c r="AB122">
        <v>71</v>
      </c>
      <c r="AC122">
        <v>338</v>
      </c>
      <c r="AD122">
        <v>22</v>
      </c>
      <c r="AE122">
        <v>34</v>
      </c>
      <c r="AF122">
        <v>308</v>
      </c>
    </row>
    <row r="123" spans="1:32" x14ac:dyDescent="0.3">
      <c r="A123">
        <v>2024</v>
      </c>
      <c r="B123">
        <v>7</v>
      </c>
      <c r="C123" t="s">
        <v>41</v>
      </c>
      <c r="D123" t="s">
        <v>32</v>
      </c>
      <c r="E123">
        <v>46</v>
      </c>
      <c r="F123">
        <v>0.49</v>
      </c>
      <c r="G123">
        <f t="shared" si="3"/>
        <v>1.2608695652173914</v>
      </c>
      <c r="H123">
        <v>58</v>
      </c>
      <c r="I123">
        <v>13</v>
      </c>
      <c r="J123">
        <v>40</v>
      </c>
      <c r="K123">
        <v>75</v>
      </c>
      <c r="L123">
        <v>74</v>
      </c>
      <c r="M123">
        <v>76</v>
      </c>
      <c r="N123">
        <v>84</v>
      </c>
      <c r="O123">
        <v>52</v>
      </c>
      <c r="P123">
        <v>59</v>
      </c>
      <c r="Q123">
        <v>53</v>
      </c>
      <c r="R123">
        <v>112</v>
      </c>
      <c r="S123">
        <v>63</v>
      </c>
      <c r="T123">
        <v>64</v>
      </c>
      <c r="U123">
        <v>66</v>
      </c>
      <c r="V123">
        <v>26</v>
      </c>
      <c r="W123">
        <v>53</v>
      </c>
      <c r="X123">
        <v>37</v>
      </c>
      <c r="Y123">
        <v>7</v>
      </c>
      <c r="Z123">
        <v>28</v>
      </c>
      <c r="AA123">
        <v>43</v>
      </c>
      <c r="AB123">
        <v>236</v>
      </c>
      <c r="AC123">
        <v>122</v>
      </c>
      <c r="AD123">
        <v>70</v>
      </c>
      <c r="AE123">
        <v>44</v>
      </c>
      <c r="AF123">
        <v>61</v>
      </c>
    </row>
    <row r="124" spans="1:32" x14ac:dyDescent="0.3">
      <c r="A124">
        <v>2024</v>
      </c>
      <c r="B124">
        <v>7</v>
      </c>
      <c r="C124" t="s">
        <v>41</v>
      </c>
      <c r="D124" t="s">
        <v>34</v>
      </c>
      <c r="E124">
        <v>55</v>
      </c>
      <c r="F124">
        <v>0.68</v>
      </c>
      <c r="G124">
        <f t="shared" si="3"/>
        <v>1.2545454545454546</v>
      </c>
      <c r="H124">
        <v>69</v>
      </c>
      <c r="I124">
        <v>9</v>
      </c>
      <c r="J124">
        <v>48</v>
      </c>
      <c r="K124">
        <v>58</v>
      </c>
      <c r="L124">
        <v>72</v>
      </c>
      <c r="M124">
        <v>67</v>
      </c>
      <c r="N124">
        <v>52</v>
      </c>
      <c r="O124">
        <v>36</v>
      </c>
      <c r="P124">
        <v>48</v>
      </c>
      <c r="Q124">
        <v>84</v>
      </c>
      <c r="R124">
        <v>58</v>
      </c>
      <c r="S124">
        <v>107</v>
      </c>
      <c r="T124">
        <v>67</v>
      </c>
      <c r="U124">
        <v>38</v>
      </c>
      <c r="V124">
        <v>81</v>
      </c>
      <c r="W124">
        <v>136</v>
      </c>
      <c r="X124">
        <v>16</v>
      </c>
      <c r="Y124">
        <v>309</v>
      </c>
      <c r="Z124">
        <v>18</v>
      </c>
      <c r="AA124">
        <v>145</v>
      </c>
      <c r="AB124">
        <v>157</v>
      </c>
      <c r="AC124">
        <v>143</v>
      </c>
      <c r="AD124">
        <v>132</v>
      </c>
      <c r="AE124">
        <v>105</v>
      </c>
      <c r="AF124">
        <v>237</v>
      </c>
    </row>
    <row r="125" spans="1:32" x14ac:dyDescent="0.3">
      <c r="A125">
        <v>2024</v>
      </c>
      <c r="B125">
        <v>7</v>
      </c>
      <c r="C125" t="s">
        <v>41</v>
      </c>
      <c r="D125" t="s">
        <v>36</v>
      </c>
      <c r="E125">
        <v>49</v>
      </c>
      <c r="F125">
        <v>0.49</v>
      </c>
      <c r="G125">
        <f t="shared" si="3"/>
        <v>1.2448979591836735</v>
      </c>
      <c r="H125">
        <v>61</v>
      </c>
      <c r="I125">
        <v>31</v>
      </c>
      <c r="J125">
        <v>73</v>
      </c>
      <c r="K125">
        <v>48</v>
      </c>
      <c r="L125">
        <v>100</v>
      </c>
      <c r="M125">
        <v>50</v>
      </c>
      <c r="N125">
        <v>64</v>
      </c>
      <c r="O125">
        <v>56</v>
      </c>
      <c r="P125">
        <v>66</v>
      </c>
      <c r="Q125">
        <v>127</v>
      </c>
      <c r="R125">
        <v>96</v>
      </c>
      <c r="S125">
        <v>100</v>
      </c>
      <c r="T125">
        <v>71</v>
      </c>
      <c r="U125">
        <v>36</v>
      </c>
      <c r="V125">
        <v>106</v>
      </c>
      <c r="W125">
        <v>11</v>
      </c>
      <c r="X125">
        <v>291</v>
      </c>
      <c r="Y125">
        <v>20</v>
      </c>
      <c r="Z125">
        <v>77</v>
      </c>
      <c r="AA125">
        <v>26</v>
      </c>
      <c r="AB125">
        <v>365</v>
      </c>
      <c r="AC125">
        <v>126</v>
      </c>
      <c r="AD125">
        <v>108</v>
      </c>
      <c r="AE125">
        <v>219</v>
      </c>
      <c r="AF125">
        <v>10</v>
      </c>
    </row>
    <row r="126" spans="1:32" x14ac:dyDescent="0.3">
      <c r="A126">
        <v>2024</v>
      </c>
      <c r="B126">
        <v>8</v>
      </c>
      <c r="C126" t="s">
        <v>42</v>
      </c>
      <c r="D126" t="s">
        <v>32</v>
      </c>
      <c r="E126">
        <v>111</v>
      </c>
      <c r="F126">
        <v>0.47</v>
      </c>
      <c r="G126">
        <f t="shared" si="3"/>
        <v>1.2522522522522523</v>
      </c>
      <c r="H126">
        <v>139</v>
      </c>
      <c r="I126">
        <v>44</v>
      </c>
      <c r="J126">
        <v>83</v>
      </c>
      <c r="K126">
        <v>75</v>
      </c>
      <c r="L126">
        <v>81</v>
      </c>
      <c r="M126">
        <v>52</v>
      </c>
      <c r="N126">
        <v>70</v>
      </c>
      <c r="O126">
        <v>72</v>
      </c>
      <c r="P126">
        <v>112</v>
      </c>
      <c r="Q126">
        <v>52</v>
      </c>
      <c r="R126">
        <v>98</v>
      </c>
      <c r="S126">
        <v>78</v>
      </c>
      <c r="T126">
        <v>137</v>
      </c>
      <c r="U126">
        <v>91</v>
      </c>
      <c r="V126">
        <v>73</v>
      </c>
      <c r="W126">
        <v>57</v>
      </c>
      <c r="X126">
        <v>137</v>
      </c>
      <c r="Y126">
        <v>369</v>
      </c>
      <c r="Z126">
        <v>227</v>
      </c>
      <c r="AA126">
        <v>149</v>
      </c>
      <c r="AB126">
        <v>75</v>
      </c>
      <c r="AC126">
        <v>11</v>
      </c>
      <c r="AD126">
        <v>497</v>
      </c>
      <c r="AE126">
        <v>336</v>
      </c>
      <c r="AF126">
        <v>351</v>
      </c>
    </row>
    <row r="127" spans="1:32" x14ac:dyDescent="0.3">
      <c r="A127">
        <v>2024</v>
      </c>
      <c r="B127">
        <v>8</v>
      </c>
      <c r="C127" t="s">
        <v>42</v>
      </c>
      <c r="D127" t="s">
        <v>36</v>
      </c>
      <c r="E127">
        <v>99</v>
      </c>
      <c r="F127">
        <v>0.5</v>
      </c>
      <c r="G127">
        <f t="shared" si="3"/>
        <v>1.2424242424242424</v>
      </c>
      <c r="H127">
        <v>123</v>
      </c>
      <c r="I127">
        <v>44</v>
      </c>
      <c r="J127">
        <v>28</v>
      </c>
      <c r="K127">
        <v>82</v>
      </c>
      <c r="L127">
        <v>72</v>
      </c>
      <c r="M127">
        <v>132</v>
      </c>
      <c r="N127">
        <v>40</v>
      </c>
      <c r="O127">
        <v>86</v>
      </c>
      <c r="P127">
        <v>97</v>
      </c>
      <c r="Q127">
        <v>112</v>
      </c>
      <c r="R127">
        <v>62</v>
      </c>
      <c r="S127">
        <v>63</v>
      </c>
      <c r="T127">
        <v>93</v>
      </c>
      <c r="U127">
        <v>65</v>
      </c>
      <c r="V127">
        <v>71</v>
      </c>
      <c r="W127">
        <v>37</v>
      </c>
      <c r="X127">
        <v>102</v>
      </c>
      <c r="Y127">
        <v>166</v>
      </c>
      <c r="Z127">
        <v>56</v>
      </c>
      <c r="AA127">
        <v>116</v>
      </c>
      <c r="AB127">
        <v>149</v>
      </c>
      <c r="AC127">
        <v>153</v>
      </c>
      <c r="AD127">
        <v>202</v>
      </c>
      <c r="AE127">
        <v>41</v>
      </c>
      <c r="AF127">
        <v>112</v>
      </c>
    </row>
    <row r="128" spans="1:32" x14ac:dyDescent="0.3">
      <c r="A128">
        <v>2024</v>
      </c>
      <c r="B128">
        <v>8</v>
      </c>
      <c r="C128" t="s">
        <v>42</v>
      </c>
      <c r="D128" t="s">
        <v>34</v>
      </c>
      <c r="E128">
        <v>98</v>
      </c>
      <c r="F128">
        <v>0.69</v>
      </c>
      <c r="G128">
        <f t="shared" si="3"/>
        <v>1.2448979591836735</v>
      </c>
      <c r="H128">
        <v>122</v>
      </c>
      <c r="I128">
        <v>34</v>
      </c>
      <c r="J128">
        <v>119</v>
      </c>
      <c r="K128">
        <v>100</v>
      </c>
      <c r="L128">
        <v>102</v>
      </c>
      <c r="M128">
        <v>35</v>
      </c>
      <c r="N128">
        <v>150</v>
      </c>
      <c r="O128">
        <v>27</v>
      </c>
      <c r="P128">
        <v>78</v>
      </c>
      <c r="Q128">
        <v>114</v>
      </c>
      <c r="R128">
        <v>95</v>
      </c>
      <c r="S128">
        <v>46</v>
      </c>
      <c r="T128">
        <v>57</v>
      </c>
      <c r="U128">
        <v>96</v>
      </c>
      <c r="V128">
        <v>84</v>
      </c>
      <c r="W128">
        <v>232</v>
      </c>
      <c r="X128">
        <v>279</v>
      </c>
      <c r="Y128">
        <v>214</v>
      </c>
      <c r="Z128">
        <v>20</v>
      </c>
      <c r="AA128">
        <v>366</v>
      </c>
      <c r="AB128">
        <v>136</v>
      </c>
      <c r="AC128">
        <v>235</v>
      </c>
      <c r="AD128">
        <v>149</v>
      </c>
      <c r="AE128">
        <v>25</v>
      </c>
      <c r="AF128">
        <v>456</v>
      </c>
    </row>
    <row r="129" spans="1:32" x14ac:dyDescent="0.3">
      <c r="A129">
        <v>2024</v>
      </c>
      <c r="B129">
        <v>8</v>
      </c>
      <c r="C129" t="s">
        <v>42</v>
      </c>
      <c r="D129" t="s">
        <v>32</v>
      </c>
      <c r="E129">
        <v>38</v>
      </c>
      <c r="F129">
        <v>0.57999999999999996</v>
      </c>
      <c r="G129">
        <f t="shared" si="3"/>
        <v>1.263157894736842</v>
      </c>
      <c r="H129">
        <v>48</v>
      </c>
      <c r="I129">
        <v>16</v>
      </c>
      <c r="J129">
        <v>49</v>
      </c>
      <c r="K129">
        <v>102</v>
      </c>
      <c r="L129">
        <v>49</v>
      </c>
      <c r="M129">
        <v>81</v>
      </c>
      <c r="N129">
        <v>118</v>
      </c>
      <c r="O129">
        <v>80</v>
      </c>
      <c r="P129">
        <v>66</v>
      </c>
      <c r="Q129">
        <v>59</v>
      </c>
      <c r="R129">
        <v>86</v>
      </c>
      <c r="S129">
        <v>72</v>
      </c>
      <c r="T129">
        <v>43</v>
      </c>
      <c r="U129">
        <v>75</v>
      </c>
      <c r="V129">
        <v>103</v>
      </c>
      <c r="W129">
        <v>112</v>
      </c>
      <c r="X129">
        <v>66</v>
      </c>
      <c r="Y129">
        <v>48</v>
      </c>
      <c r="Z129">
        <v>88</v>
      </c>
      <c r="AA129">
        <v>143</v>
      </c>
      <c r="AB129">
        <v>170</v>
      </c>
      <c r="AC129">
        <v>74</v>
      </c>
      <c r="AD129">
        <v>189</v>
      </c>
      <c r="AE129">
        <v>81</v>
      </c>
      <c r="AF129">
        <v>114</v>
      </c>
    </row>
    <row r="130" spans="1:32" x14ac:dyDescent="0.3">
      <c r="A130">
        <v>2024</v>
      </c>
      <c r="B130">
        <v>9</v>
      </c>
      <c r="C130" t="s">
        <v>43</v>
      </c>
      <c r="D130" t="s">
        <v>33</v>
      </c>
      <c r="E130">
        <v>102</v>
      </c>
      <c r="F130">
        <v>0.48</v>
      </c>
      <c r="G130">
        <f t="shared" ref="G130:G161" si="4">H130/E130</f>
        <v>1.2549019607843137</v>
      </c>
      <c r="H130">
        <v>128</v>
      </c>
      <c r="I130">
        <v>51</v>
      </c>
      <c r="J130">
        <v>69</v>
      </c>
      <c r="K130">
        <v>98</v>
      </c>
      <c r="L130">
        <v>38</v>
      </c>
      <c r="M130">
        <v>58</v>
      </c>
      <c r="N130">
        <v>42</v>
      </c>
      <c r="O130">
        <v>89</v>
      </c>
      <c r="P130">
        <v>84</v>
      </c>
      <c r="Q130">
        <v>106</v>
      </c>
      <c r="R130">
        <v>60</v>
      </c>
      <c r="S130">
        <v>59</v>
      </c>
      <c r="T130">
        <v>74</v>
      </c>
      <c r="U130">
        <v>104</v>
      </c>
      <c r="V130">
        <v>62</v>
      </c>
      <c r="W130">
        <v>11</v>
      </c>
      <c r="X130">
        <v>198</v>
      </c>
      <c r="Y130">
        <v>38</v>
      </c>
      <c r="Z130">
        <v>68</v>
      </c>
      <c r="AA130">
        <v>20</v>
      </c>
      <c r="AB130">
        <v>296</v>
      </c>
      <c r="AC130">
        <v>81</v>
      </c>
      <c r="AD130">
        <v>196</v>
      </c>
      <c r="AE130">
        <v>152</v>
      </c>
      <c r="AF130">
        <v>62</v>
      </c>
    </row>
    <row r="131" spans="1:32" x14ac:dyDescent="0.3">
      <c r="A131">
        <v>2024</v>
      </c>
      <c r="B131">
        <v>9</v>
      </c>
      <c r="C131" t="s">
        <v>43</v>
      </c>
      <c r="D131" t="s">
        <v>36</v>
      </c>
      <c r="E131">
        <v>28</v>
      </c>
      <c r="F131">
        <v>0.69</v>
      </c>
      <c r="G131">
        <f t="shared" si="4"/>
        <v>1.2857142857142858</v>
      </c>
      <c r="H131">
        <v>36</v>
      </c>
      <c r="I131">
        <v>34</v>
      </c>
      <c r="J131">
        <v>65</v>
      </c>
      <c r="K131">
        <v>78</v>
      </c>
      <c r="L131">
        <v>80</v>
      </c>
      <c r="M131">
        <v>88</v>
      </c>
      <c r="N131">
        <v>57</v>
      </c>
      <c r="O131">
        <v>94</v>
      </c>
      <c r="P131">
        <v>150</v>
      </c>
      <c r="Q131">
        <v>84</v>
      </c>
      <c r="R131">
        <v>52</v>
      </c>
      <c r="S131">
        <v>53</v>
      </c>
      <c r="T131">
        <v>83</v>
      </c>
      <c r="U131">
        <v>56</v>
      </c>
      <c r="V131">
        <v>61</v>
      </c>
      <c r="W131">
        <v>15</v>
      </c>
      <c r="X131">
        <v>110</v>
      </c>
      <c r="Y131">
        <v>128</v>
      </c>
      <c r="Z131">
        <v>118</v>
      </c>
      <c r="AA131">
        <v>63</v>
      </c>
      <c r="AB131">
        <v>14</v>
      </c>
      <c r="AC131">
        <v>83</v>
      </c>
      <c r="AD131">
        <v>246</v>
      </c>
      <c r="AE131">
        <v>248</v>
      </c>
      <c r="AF131">
        <v>8</v>
      </c>
    </row>
    <row r="132" spans="1:32" x14ac:dyDescent="0.3">
      <c r="A132">
        <v>2024</v>
      </c>
      <c r="B132">
        <v>9</v>
      </c>
      <c r="C132" t="s">
        <v>43</v>
      </c>
      <c r="D132" t="s">
        <v>33</v>
      </c>
      <c r="E132">
        <v>48</v>
      </c>
      <c r="F132">
        <v>0.54</v>
      </c>
      <c r="G132">
        <f t="shared" si="4"/>
        <v>1.25</v>
      </c>
      <c r="H132">
        <v>60</v>
      </c>
      <c r="I132">
        <v>14</v>
      </c>
      <c r="J132">
        <v>67</v>
      </c>
      <c r="K132">
        <v>100</v>
      </c>
      <c r="L132">
        <v>77</v>
      </c>
      <c r="M132">
        <v>86</v>
      </c>
      <c r="N132">
        <v>89</v>
      </c>
      <c r="O132">
        <v>85</v>
      </c>
      <c r="P132">
        <v>48</v>
      </c>
      <c r="Q132">
        <v>62</v>
      </c>
      <c r="R132">
        <v>108</v>
      </c>
      <c r="S132">
        <v>62</v>
      </c>
      <c r="T132">
        <v>145</v>
      </c>
      <c r="U132">
        <v>145</v>
      </c>
      <c r="V132">
        <v>71</v>
      </c>
      <c r="W132">
        <v>362</v>
      </c>
      <c r="X132">
        <v>81</v>
      </c>
      <c r="Y132">
        <v>588</v>
      </c>
      <c r="Z132">
        <v>62</v>
      </c>
      <c r="AA132">
        <v>65</v>
      </c>
      <c r="AB132">
        <v>7</v>
      </c>
      <c r="AC132">
        <v>3</v>
      </c>
      <c r="AD132">
        <v>195</v>
      </c>
      <c r="AE132">
        <v>68</v>
      </c>
      <c r="AF132">
        <v>7</v>
      </c>
    </row>
    <row r="133" spans="1:32" x14ac:dyDescent="0.3">
      <c r="A133">
        <v>2024</v>
      </c>
      <c r="B133">
        <v>9</v>
      </c>
      <c r="C133" t="s">
        <v>43</v>
      </c>
      <c r="D133" t="s">
        <v>34</v>
      </c>
      <c r="E133">
        <v>66</v>
      </c>
      <c r="F133">
        <v>0.46</v>
      </c>
      <c r="G133">
        <f t="shared" si="4"/>
        <v>1.2575757575757576</v>
      </c>
      <c r="H133">
        <v>83</v>
      </c>
      <c r="I133">
        <v>41</v>
      </c>
      <c r="J133">
        <v>125</v>
      </c>
      <c r="K133">
        <v>110</v>
      </c>
      <c r="L133">
        <v>70</v>
      </c>
      <c r="M133">
        <v>36</v>
      </c>
      <c r="N133">
        <v>113</v>
      </c>
      <c r="O133">
        <v>38</v>
      </c>
      <c r="P133">
        <v>84</v>
      </c>
      <c r="Q133">
        <v>85</v>
      </c>
      <c r="R133">
        <v>39</v>
      </c>
      <c r="S133">
        <v>50</v>
      </c>
      <c r="T133">
        <v>126</v>
      </c>
      <c r="U133">
        <v>79</v>
      </c>
      <c r="V133">
        <v>83</v>
      </c>
      <c r="W133">
        <v>56</v>
      </c>
      <c r="X133">
        <v>135</v>
      </c>
      <c r="Y133">
        <v>80</v>
      </c>
      <c r="Z133">
        <v>93</v>
      </c>
      <c r="AA133">
        <v>44</v>
      </c>
      <c r="AB133">
        <v>352</v>
      </c>
      <c r="AC133">
        <v>61</v>
      </c>
      <c r="AD133">
        <v>123</v>
      </c>
      <c r="AE133">
        <v>20</v>
      </c>
      <c r="AF133">
        <v>82</v>
      </c>
    </row>
    <row r="134" spans="1:32" x14ac:dyDescent="0.3">
      <c r="A134">
        <v>2024</v>
      </c>
      <c r="B134">
        <v>10</v>
      </c>
      <c r="C134" t="s">
        <v>44</v>
      </c>
      <c r="D134" t="s">
        <v>33</v>
      </c>
      <c r="E134">
        <v>97</v>
      </c>
      <c r="F134">
        <v>0.57999999999999996</v>
      </c>
      <c r="G134">
        <f t="shared" si="4"/>
        <v>1.2474226804123711</v>
      </c>
      <c r="H134">
        <v>121</v>
      </c>
      <c r="I134">
        <v>53</v>
      </c>
      <c r="J134">
        <v>65</v>
      </c>
      <c r="K134">
        <v>51</v>
      </c>
      <c r="L134">
        <v>69</v>
      </c>
      <c r="M134">
        <v>86</v>
      </c>
      <c r="N134">
        <v>45</v>
      </c>
      <c r="O134">
        <v>88</v>
      </c>
      <c r="P134">
        <v>49</v>
      </c>
      <c r="Q134">
        <v>104</v>
      </c>
      <c r="R134">
        <v>92</v>
      </c>
      <c r="S134">
        <v>65</v>
      </c>
      <c r="T134">
        <v>121</v>
      </c>
      <c r="U134">
        <v>130</v>
      </c>
      <c r="V134">
        <v>113</v>
      </c>
      <c r="W134">
        <v>276</v>
      </c>
      <c r="X134">
        <v>458</v>
      </c>
      <c r="Y134">
        <v>300</v>
      </c>
      <c r="Z134">
        <v>128</v>
      </c>
      <c r="AA134">
        <v>291</v>
      </c>
      <c r="AB134">
        <v>20</v>
      </c>
      <c r="AC134">
        <v>99</v>
      </c>
      <c r="AD134">
        <v>22</v>
      </c>
      <c r="AE134">
        <v>212</v>
      </c>
      <c r="AF134">
        <v>135</v>
      </c>
    </row>
    <row r="135" spans="1:32" x14ac:dyDescent="0.3">
      <c r="A135">
        <v>2024</v>
      </c>
      <c r="B135">
        <v>10</v>
      </c>
      <c r="C135" t="s">
        <v>44</v>
      </c>
      <c r="D135" t="s">
        <v>36</v>
      </c>
      <c r="E135">
        <v>95</v>
      </c>
      <c r="F135">
        <v>0.53</v>
      </c>
      <c r="G135">
        <f t="shared" si="4"/>
        <v>1.2526315789473683</v>
      </c>
      <c r="H135">
        <v>119</v>
      </c>
      <c r="I135">
        <v>23</v>
      </c>
      <c r="J135">
        <v>57</v>
      </c>
      <c r="K135">
        <v>101</v>
      </c>
      <c r="L135">
        <v>85</v>
      </c>
      <c r="M135">
        <v>47</v>
      </c>
      <c r="N135">
        <v>103</v>
      </c>
      <c r="O135">
        <v>116</v>
      </c>
      <c r="P135">
        <v>51</v>
      </c>
      <c r="Q135">
        <v>92</v>
      </c>
      <c r="R135">
        <v>62</v>
      </c>
      <c r="S135">
        <v>57</v>
      </c>
      <c r="T135">
        <v>71</v>
      </c>
      <c r="U135">
        <v>54</v>
      </c>
      <c r="V135">
        <v>93</v>
      </c>
      <c r="W135">
        <v>174</v>
      </c>
      <c r="X135">
        <v>12</v>
      </c>
      <c r="Y135">
        <v>308</v>
      </c>
      <c r="Z135">
        <v>338</v>
      </c>
      <c r="AA135">
        <v>46</v>
      </c>
      <c r="AB135">
        <v>125</v>
      </c>
      <c r="AC135">
        <v>131</v>
      </c>
      <c r="AD135">
        <v>79</v>
      </c>
      <c r="AE135">
        <v>32</v>
      </c>
      <c r="AF135">
        <v>8</v>
      </c>
    </row>
    <row r="136" spans="1:32" x14ac:dyDescent="0.3">
      <c r="A136">
        <v>2024</v>
      </c>
      <c r="B136">
        <v>10</v>
      </c>
      <c r="C136" t="s">
        <v>44</v>
      </c>
      <c r="D136" t="s">
        <v>33</v>
      </c>
      <c r="E136">
        <v>106</v>
      </c>
      <c r="F136">
        <v>0.77</v>
      </c>
      <c r="G136">
        <f t="shared" si="4"/>
        <v>1.2452830188679245</v>
      </c>
      <c r="H136">
        <v>132</v>
      </c>
      <c r="I136">
        <v>14</v>
      </c>
      <c r="J136">
        <v>64</v>
      </c>
      <c r="K136">
        <v>70</v>
      </c>
      <c r="L136">
        <v>76</v>
      </c>
      <c r="M136">
        <v>26</v>
      </c>
      <c r="N136">
        <v>87</v>
      </c>
      <c r="O136">
        <v>108</v>
      </c>
      <c r="P136">
        <v>101</v>
      </c>
      <c r="Q136">
        <v>66</v>
      </c>
      <c r="R136">
        <v>53</v>
      </c>
      <c r="S136">
        <v>102</v>
      </c>
      <c r="T136">
        <v>70</v>
      </c>
      <c r="U136">
        <v>47</v>
      </c>
      <c r="V136">
        <v>55</v>
      </c>
      <c r="W136">
        <v>61</v>
      </c>
      <c r="X136">
        <v>88</v>
      </c>
      <c r="Y136">
        <v>55</v>
      </c>
      <c r="Z136">
        <v>242</v>
      </c>
      <c r="AA136">
        <v>127</v>
      </c>
      <c r="AB136">
        <v>220</v>
      </c>
      <c r="AC136">
        <v>133</v>
      </c>
      <c r="AD136">
        <v>96</v>
      </c>
      <c r="AE136">
        <v>61</v>
      </c>
      <c r="AF136">
        <v>67</v>
      </c>
    </row>
    <row r="137" spans="1:32" x14ac:dyDescent="0.3">
      <c r="A137">
        <v>2024</v>
      </c>
      <c r="B137">
        <v>10</v>
      </c>
      <c r="C137" t="s">
        <v>44</v>
      </c>
      <c r="D137" t="s">
        <v>36</v>
      </c>
      <c r="E137">
        <v>110</v>
      </c>
      <c r="F137">
        <v>0.55000000000000004</v>
      </c>
      <c r="G137">
        <f t="shared" si="4"/>
        <v>1.2545454545454546</v>
      </c>
      <c r="H137">
        <v>138</v>
      </c>
      <c r="I137">
        <v>12</v>
      </c>
      <c r="J137">
        <v>38</v>
      </c>
      <c r="K137">
        <v>42</v>
      </c>
      <c r="L137">
        <v>107</v>
      </c>
      <c r="M137">
        <v>65</v>
      </c>
      <c r="N137">
        <v>71</v>
      </c>
      <c r="O137">
        <v>62</v>
      </c>
      <c r="P137">
        <v>46</v>
      </c>
      <c r="Q137">
        <v>133</v>
      </c>
      <c r="R137">
        <v>33</v>
      </c>
      <c r="S137">
        <v>107</v>
      </c>
      <c r="T137">
        <v>47</v>
      </c>
      <c r="U137">
        <v>84</v>
      </c>
      <c r="V137">
        <v>101</v>
      </c>
      <c r="W137">
        <v>165</v>
      </c>
      <c r="X137">
        <v>18</v>
      </c>
      <c r="Y137">
        <v>156</v>
      </c>
      <c r="Z137">
        <v>117</v>
      </c>
      <c r="AA137">
        <v>67</v>
      </c>
      <c r="AB137">
        <v>73</v>
      </c>
      <c r="AC137">
        <v>165</v>
      </c>
      <c r="AD137">
        <v>167</v>
      </c>
      <c r="AE137">
        <v>146</v>
      </c>
      <c r="AF137">
        <v>215</v>
      </c>
    </row>
    <row r="138" spans="1:32" x14ac:dyDescent="0.3">
      <c r="A138">
        <v>2024</v>
      </c>
      <c r="B138">
        <v>11</v>
      </c>
      <c r="C138" t="s">
        <v>45</v>
      </c>
      <c r="D138" t="s">
        <v>32</v>
      </c>
      <c r="E138">
        <v>33</v>
      </c>
      <c r="F138">
        <v>0.68</v>
      </c>
      <c r="G138">
        <f t="shared" si="4"/>
        <v>1.2424242424242424</v>
      </c>
      <c r="H138">
        <v>41</v>
      </c>
      <c r="I138">
        <v>47</v>
      </c>
      <c r="J138">
        <v>68</v>
      </c>
      <c r="K138">
        <v>98</v>
      </c>
      <c r="L138">
        <v>112</v>
      </c>
      <c r="M138">
        <v>114</v>
      </c>
      <c r="N138">
        <v>129</v>
      </c>
      <c r="O138">
        <v>39</v>
      </c>
      <c r="P138">
        <v>61</v>
      </c>
      <c r="Q138">
        <v>102</v>
      </c>
      <c r="R138">
        <v>65</v>
      </c>
      <c r="S138">
        <v>50</v>
      </c>
      <c r="T138">
        <v>68</v>
      </c>
      <c r="U138">
        <v>47</v>
      </c>
      <c r="V138">
        <v>112</v>
      </c>
      <c r="W138">
        <v>132</v>
      </c>
      <c r="X138">
        <v>188</v>
      </c>
      <c r="Y138">
        <v>43</v>
      </c>
      <c r="Z138">
        <v>82</v>
      </c>
      <c r="AA138">
        <v>281</v>
      </c>
      <c r="AB138">
        <v>87</v>
      </c>
      <c r="AC138">
        <v>145</v>
      </c>
      <c r="AD138">
        <v>275</v>
      </c>
      <c r="AE138">
        <v>56</v>
      </c>
      <c r="AF138">
        <v>284</v>
      </c>
    </row>
    <row r="139" spans="1:32" x14ac:dyDescent="0.3">
      <c r="A139">
        <v>2024</v>
      </c>
      <c r="B139">
        <v>11</v>
      </c>
      <c r="C139" t="s">
        <v>45</v>
      </c>
      <c r="D139" t="s">
        <v>32</v>
      </c>
      <c r="E139">
        <v>46</v>
      </c>
      <c r="F139">
        <v>0.45</v>
      </c>
      <c r="G139">
        <f t="shared" si="4"/>
        <v>1.2608695652173914</v>
      </c>
      <c r="H139">
        <v>58</v>
      </c>
      <c r="I139">
        <v>27</v>
      </c>
      <c r="J139">
        <v>42</v>
      </c>
      <c r="K139">
        <v>65</v>
      </c>
      <c r="L139">
        <v>100</v>
      </c>
      <c r="M139">
        <v>56</v>
      </c>
      <c r="N139">
        <v>132</v>
      </c>
      <c r="O139">
        <v>87</v>
      </c>
      <c r="P139">
        <v>79</v>
      </c>
      <c r="Q139">
        <v>68</v>
      </c>
      <c r="R139">
        <v>32</v>
      </c>
      <c r="S139">
        <v>53</v>
      </c>
      <c r="T139">
        <v>91</v>
      </c>
      <c r="U139">
        <v>31</v>
      </c>
      <c r="V139">
        <v>66</v>
      </c>
      <c r="W139">
        <v>24</v>
      </c>
      <c r="X139">
        <v>65</v>
      </c>
      <c r="Y139">
        <v>622</v>
      </c>
      <c r="Z139">
        <v>60</v>
      </c>
      <c r="AA139">
        <v>28</v>
      </c>
      <c r="AB139">
        <v>79</v>
      </c>
      <c r="AC139">
        <v>83</v>
      </c>
      <c r="AD139">
        <v>100</v>
      </c>
      <c r="AE139">
        <v>53</v>
      </c>
      <c r="AF139">
        <v>38</v>
      </c>
    </row>
    <row r="140" spans="1:32" x14ac:dyDescent="0.3">
      <c r="A140">
        <v>2024</v>
      </c>
      <c r="B140">
        <v>11</v>
      </c>
      <c r="C140" t="s">
        <v>45</v>
      </c>
      <c r="D140" t="s">
        <v>36</v>
      </c>
      <c r="E140">
        <v>54</v>
      </c>
      <c r="F140">
        <v>0.45</v>
      </c>
      <c r="G140">
        <f t="shared" si="4"/>
        <v>1.2592592592592593</v>
      </c>
      <c r="H140">
        <v>68</v>
      </c>
      <c r="I140">
        <v>48</v>
      </c>
      <c r="J140">
        <v>91</v>
      </c>
      <c r="K140">
        <v>115</v>
      </c>
      <c r="L140">
        <v>54</v>
      </c>
      <c r="M140">
        <v>52</v>
      </c>
      <c r="N140">
        <v>113</v>
      </c>
      <c r="O140">
        <v>33</v>
      </c>
      <c r="P140">
        <v>96</v>
      </c>
      <c r="Q140">
        <v>37</v>
      </c>
      <c r="R140">
        <v>61</v>
      </c>
      <c r="S140">
        <v>111</v>
      </c>
      <c r="T140">
        <v>101</v>
      </c>
      <c r="U140">
        <v>125</v>
      </c>
      <c r="V140">
        <v>45</v>
      </c>
      <c r="W140">
        <v>132</v>
      </c>
      <c r="X140">
        <v>60</v>
      </c>
      <c r="Y140">
        <v>180</v>
      </c>
      <c r="Z140">
        <v>162</v>
      </c>
      <c r="AA140">
        <v>198</v>
      </c>
      <c r="AB140">
        <v>29</v>
      </c>
      <c r="AC140">
        <v>53</v>
      </c>
      <c r="AD140">
        <v>31</v>
      </c>
      <c r="AE140">
        <v>221</v>
      </c>
      <c r="AF140">
        <v>160</v>
      </c>
    </row>
    <row r="141" spans="1:32" x14ac:dyDescent="0.3">
      <c r="A141">
        <v>2024</v>
      </c>
      <c r="B141">
        <v>11</v>
      </c>
      <c r="C141" t="s">
        <v>45</v>
      </c>
      <c r="D141" t="s">
        <v>33</v>
      </c>
      <c r="E141">
        <v>81</v>
      </c>
      <c r="F141">
        <v>0.46</v>
      </c>
      <c r="G141">
        <f t="shared" si="4"/>
        <v>1.2469135802469136</v>
      </c>
      <c r="H141">
        <v>101</v>
      </c>
      <c r="I141">
        <v>49</v>
      </c>
      <c r="J141">
        <v>125</v>
      </c>
      <c r="K141">
        <v>82</v>
      </c>
      <c r="L141">
        <v>46</v>
      </c>
      <c r="M141">
        <v>104</v>
      </c>
      <c r="N141">
        <v>73</v>
      </c>
      <c r="O141">
        <v>53</v>
      </c>
      <c r="P141">
        <v>71</v>
      </c>
      <c r="Q141">
        <v>76</v>
      </c>
      <c r="R141">
        <v>132</v>
      </c>
      <c r="S141">
        <v>123</v>
      </c>
      <c r="T141">
        <v>49</v>
      </c>
      <c r="U141">
        <v>46</v>
      </c>
      <c r="V141">
        <v>80</v>
      </c>
      <c r="W141">
        <v>68</v>
      </c>
      <c r="X141">
        <v>113</v>
      </c>
      <c r="Y141">
        <v>750</v>
      </c>
      <c r="Z141">
        <v>117</v>
      </c>
      <c r="AA141">
        <v>46</v>
      </c>
      <c r="AB141">
        <v>62</v>
      </c>
      <c r="AC141">
        <v>96</v>
      </c>
      <c r="AD141">
        <v>10</v>
      </c>
      <c r="AE141">
        <v>62</v>
      </c>
      <c r="AF141">
        <v>12</v>
      </c>
    </row>
    <row r="142" spans="1:32" x14ac:dyDescent="0.3">
      <c r="A142">
        <v>2024</v>
      </c>
      <c r="B142">
        <v>12</v>
      </c>
      <c r="C142" t="s">
        <v>46</v>
      </c>
      <c r="D142" t="s">
        <v>33</v>
      </c>
      <c r="E142">
        <v>46</v>
      </c>
      <c r="F142">
        <v>0.68</v>
      </c>
      <c r="G142">
        <f t="shared" si="4"/>
        <v>1.2608695652173914</v>
      </c>
      <c r="H142">
        <v>58</v>
      </c>
      <c r="I142">
        <v>37</v>
      </c>
      <c r="J142">
        <v>76</v>
      </c>
      <c r="K142">
        <v>93</v>
      </c>
      <c r="L142">
        <v>146</v>
      </c>
      <c r="M142">
        <v>105</v>
      </c>
      <c r="N142">
        <v>72</v>
      </c>
      <c r="O142">
        <v>63</v>
      </c>
      <c r="P142">
        <v>66</v>
      </c>
      <c r="Q142">
        <v>121</v>
      </c>
      <c r="R142">
        <v>113</v>
      </c>
      <c r="S142">
        <v>37</v>
      </c>
      <c r="T142">
        <v>65</v>
      </c>
      <c r="U142">
        <v>90</v>
      </c>
      <c r="V142">
        <v>29</v>
      </c>
      <c r="W142">
        <v>414</v>
      </c>
      <c r="X142">
        <v>69</v>
      </c>
      <c r="Y142">
        <v>105</v>
      </c>
      <c r="Z142">
        <v>132</v>
      </c>
      <c r="AA142">
        <v>102</v>
      </c>
      <c r="AB142">
        <v>130</v>
      </c>
      <c r="AC142">
        <v>200</v>
      </c>
      <c r="AD142">
        <v>30</v>
      </c>
      <c r="AE142">
        <v>165</v>
      </c>
      <c r="AF142">
        <v>56</v>
      </c>
    </row>
    <row r="143" spans="1:32" x14ac:dyDescent="0.3">
      <c r="A143">
        <v>2024</v>
      </c>
      <c r="B143">
        <v>12</v>
      </c>
      <c r="C143" t="s">
        <v>46</v>
      </c>
      <c r="D143" t="s">
        <v>34</v>
      </c>
      <c r="E143">
        <v>102</v>
      </c>
      <c r="F143">
        <v>0.52</v>
      </c>
      <c r="G143">
        <f t="shared" si="4"/>
        <v>1.2549019607843137</v>
      </c>
      <c r="H143">
        <v>128</v>
      </c>
      <c r="I143">
        <v>17</v>
      </c>
      <c r="J143">
        <v>62</v>
      </c>
      <c r="K143">
        <v>69</v>
      </c>
      <c r="L143">
        <v>84</v>
      </c>
      <c r="M143">
        <v>49</v>
      </c>
      <c r="N143">
        <v>73</v>
      </c>
      <c r="O143">
        <v>105</v>
      </c>
      <c r="P143">
        <v>53</v>
      </c>
      <c r="Q143">
        <v>80</v>
      </c>
      <c r="R143">
        <v>55</v>
      </c>
      <c r="S143">
        <v>96</v>
      </c>
      <c r="T143">
        <v>43</v>
      </c>
      <c r="U143">
        <v>47</v>
      </c>
      <c r="V143">
        <v>119</v>
      </c>
      <c r="W143">
        <v>169</v>
      </c>
      <c r="X143">
        <v>37</v>
      </c>
      <c r="Y143">
        <v>42</v>
      </c>
      <c r="Z143">
        <v>492</v>
      </c>
      <c r="AA143">
        <v>174</v>
      </c>
      <c r="AB143">
        <v>5</v>
      </c>
      <c r="AC143">
        <v>125</v>
      </c>
      <c r="AD143">
        <v>5</v>
      </c>
      <c r="AE143">
        <v>210</v>
      </c>
      <c r="AF143">
        <v>224</v>
      </c>
    </row>
    <row r="144" spans="1:32" x14ac:dyDescent="0.3">
      <c r="A144">
        <v>2024</v>
      </c>
      <c r="B144">
        <v>12</v>
      </c>
      <c r="C144" t="s">
        <v>46</v>
      </c>
      <c r="D144" t="s">
        <v>33</v>
      </c>
      <c r="E144">
        <v>89</v>
      </c>
      <c r="F144">
        <v>0.68</v>
      </c>
      <c r="G144">
        <f t="shared" si="4"/>
        <v>1.247191011235955</v>
      </c>
      <c r="H144">
        <v>111</v>
      </c>
      <c r="I144">
        <v>44</v>
      </c>
      <c r="J144">
        <v>63</v>
      </c>
      <c r="K144">
        <v>62</v>
      </c>
      <c r="L144">
        <v>89</v>
      </c>
      <c r="M144">
        <v>90</v>
      </c>
      <c r="N144">
        <v>60</v>
      </c>
      <c r="O144">
        <v>105</v>
      </c>
      <c r="P144">
        <v>91</v>
      </c>
      <c r="Q144">
        <v>31</v>
      </c>
      <c r="R144">
        <v>101</v>
      </c>
      <c r="S144">
        <v>112</v>
      </c>
      <c r="T144">
        <v>47</v>
      </c>
      <c r="U144">
        <v>104</v>
      </c>
      <c r="V144">
        <v>167</v>
      </c>
      <c r="W144">
        <v>187</v>
      </c>
      <c r="X144">
        <v>30</v>
      </c>
      <c r="Y144">
        <v>209</v>
      </c>
      <c r="Z144">
        <v>185</v>
      </c>
      <c r="AA144">
        <v>70</v>
      </c>
      <c r="AB144">
        <v>146</v>
      </c>
      <c r="AC144">
        <v>99</v>
      </c>
      <c r="AD144">
        <v>226</v>
      </c>
      <c r="AE144">
        <v>28</v>
      </c>
      <c r="AF144">
        <v>139</v>
      </c>
    </row>
    <row r="145" spans="1:32" x14ac:dyDescent="0.3">
      <c r="A145">
        <v>2024</v>
      </c>
      <c r="B145">
        <v>12</v>
      </c>
      <c r="C145" t="s">
        <v>46</v>
      </c>
      <c r="D145" t="s">
        <v>32</v>
      </c>
      <c r="E145">
        <v>60</v>
      </c>
      <c r="F145">
        <v>0.5</v>
      </c>
      <c r="G145">
        <f t="shared" si="4"/>
        <v>1.25</v>
      </c>
      <c r="H145">
        <v>75</v>
      </c>
      <c r="I145">
        <v>55</v>
      </c>
      <c r="J145">
        <v>51</v>
      </c>
      <c r="K145">
        <v>44</v>
      </c>
      <c r="L145">
        <v>116</v>
      </c>
      <c r="M145">
        <v>84</v>
      </c>
      <c r="N145">
        <v>111</v>
      </c>
      <c r="O145">
        <v>108</v>
      </c>
      <c r="P145">
        <v>91</v>
      </c>
      <c r="Q145">
        <v>89</v>
      </c>
      <c r="R145">
        <v>72</v>
      </c>
      <c r="S145">
        <v>90</v>
      </c>
      <c r="T145">
        <v>110</v>
      </c>
      <c r="U145">
        <v>85</v>
      </c>
      <c r="V145">
        <v>107</v>
      </c>
      <c r="W145">
        <v>108</v>
      </c>
      <c r="X145">
        <v>80</v>
      </c>
      <c r="Y145">
        <v>256</v>
      </c>
      <c r="Z145">
        <v>138</v>
      </c>
      <c r="AA145">
        <v>106</v>
      </c>
      <c r="AB145">
        <v>169</v>
      </c>
      <c r="AC145">
        <v>303</v>
      </c>
      <c r="AD145">
        <v>7</v>
      </c>
      <c r="AE145">
        <v>310</v>
      </c>
      <c r="AF145">
        <v>341</v>
      </c>
    </row>
    <row r="146" spans="1:32" x14ac:dyDescent="0.3">
      <c r="A146">
        <v>2024</v>
      </c>
      <c r="B146">
        <v>1</v>
      </c>
      <c r="C146" t="s">
        <v>31</v>
      </c>
      <c r="D146" t="s">
        <v>32</v>
      </c>
      <c r="E146">
        <v>21</v>
      </c>
      <c r="F146">
        <v>0.55000000000000004</v>
      </c>
      <c r="G146">
        <f t="shared" si="4"/>
        <v>4.7142857142857144</v>
      </c>
      <c r="H146">
        <v>99</v>
      </c>
      <c r="I146">
        <v>16</v>
      </c>
      <c r="J146">
        <v>74</v>
      </c>
      <c r="K146">
        <v>79</v>
      </c>
      <c r="L146">
        <v>54</v>
      </c>
      <c r="M146">
        <v>112</v>
      </c>
      <c r="N146">
        <v>45</v>
      </c>
      <c r="O146">
        <v>52</v>
      </c>
      <c r="P146">
        <v>65</v>
      </c>
      <c r="Q146">
        <v>51</v>
      </c>
      <c r="R146">
        <v>79</v>
      </c>
      <c r="S146">
        <v>98</v>
      </c>
      <c r="T146">
        <v>47</v>
      </c>
      <c r="U146">
        <v>32</v>
      </c>
      <c r="V146">
        <v>62</v>
      </c>
      <c r="W146">
        <v>69</v>
      </c>
      <c r="X146">
        <v>182</v>
      </c>
      <c r="Y146">
        <v>885</v>
      </c>
      <c r="Z146">
        <v>60</v>
      </c>
      <c r="AA146">
        <v>83</v>
      </c>
      <c r="AB146">
        <v>732</v>
      </c>
      <c r="AC146">
        <v>50</v>
      </c>
      <c r="AD146">
        <v>18</v>
      </c>
      <c r="AE146">
        <v>55</v>
      </c>
      <c r="AF146">
        <v>20</v>
      </c>
    </row>
    <row r="147" spans="1:32" x14ac:dyDescent="0.3">
      <c r="A147">
        <v>2024</v>
      </c>
      <c r="B147">
        <v>1</v>
      </c>
      <c r="C147" t="s">
        <v>31</v>
      </c>
      <c r="D147" t="s">
        <v>32</v>
      </c>
      <c r="E147">
        <v>46</v>
      </c>
      <c r="F147">
        <v>0.31</v>
      </c>
      <c r="G147">
        <f t="shared" si="4"/>
        <v>1.1521739130434783</v>
      </c>
      <c r="H147">
        <v>53</v>
      </c>
      <c r="I147">
        <v>16</v>
      </c>
      <c r="J147">
        <v>73</v>
      </c>
      <c r="K147">
        <v>66</v>
      </c>
      <c r="L147">
        <v>35</v>
      </c>
      <c r="M147">
        <v>122</v>
      </c>
      <c r="N147">
        <v>96</v>
      </c>
      <c r="O147">
        <v>49</v>
      </c>
      <c r="P147">
        <v>94</v>
      </c>
      <c r="Q147">
        <v>81</v>
      </c>
      <c r="R147">
        <v>62</v>
      </c>
      <c r="S147">
        <v>77</v>
      </c>
      <c r="T147">
        <v>124</v>
      </c>
      <c r="U147">
        <v>85</v>
      </c>
      <c r="V147">
        <v>37</v>
      </c>
      <c r="W147">
        <v>306</v>
      </c>
      <c r="X147">
        <v>62</v>
      </c>
      <c r="Y147">
        <v>144</v>
      </c>
      <c r="Z147">
        <v>196</v>
      </c>
      <c r="AA147">
        <v>148</v>
      </c>
      <c r="AB147">
        <v>113</v>
      </c>
      <c r="AC147">
        <v>48</v>
      </c>
      <c r="AD147">
        <v>44</v>
      </c>
      <c r="AE147">
        <v>240</v>
      </c>
      <c r="AF147">
        <v>98</v>
      </c>
    </row>
    <row r="148" spans="1:32" x14ac:dyDescent="0.3">
      <c r="A148">
        <v>2024</v>
      </c>
      <c r="B148">
        <v>1</v>
      </c>
      <c r="C148" t="s">
        <v>31</v>
      </c>
      <c r="D148" t="s">
        <v>33</v>
      </c>
      <c r="E148">
        <v>37</v>
      </c>
      <c r="F148">
        <v>0.72</v>
      </c>
      <c r="G148">
        <f t="shared" si="4"/>
        <v>2.0810810810810811</v>
      </c>
      <c r="H148">
        <v>77</v>
      </c>
      <c r="I148">
        <v>33</v>
      </c>
      <c r="J148">
        <v>94</v>
      </c>
      <c r="K148">
        <v>106</v>
      </c>
      <c r="L148">
        <v>136</v>
      </c>
      <c r="M148">
        <v>77</v>
      </c>
      <c r="N148">
        <v>63</v>
      </c>
      <c r="O148">
        <v>100</v>
      </c>
      <c r="P148">
        <v>65</v>
      </c>
      <c r="Q148">
        <v>91</v>
      </c>
      <c r="R148">
        <v>66</v>
      </c>
      <c r="S148">
        <v>69</v>
      </c>
      <c r="T148">
        <v>91</v>
      </c>
      <c r="U148">
        <v>76</v>
      </c>
      <c r="V148">
        <v>79</v>
      </c>
      <c r="W148">
        <v>224</v>
      </c>
      <c r="X148">
        <v>217</v>
      </c>
      <c r="Y148">
        <v>20</v>
      </c>
      <c r="Z148">
        <v>485</v>
      </c>
      <c r="AA148">
        <v>166</v>
      </c>
      <c r="AB148">
        <v>54</v>
      </c>
      <c r="AC148">
        <v>78</v>
      </c>
      <c r="AD148">
        <v>232</v>
      </c>
      <c r="AE148">
        <v>172</v>
      </c>
      <c r="AF148">
        <v>165</v>
      </c>
    </row>
    <row r="149" spans="1:32" x14ac:dyDescent="0.3">
      <c r="A149">
        <v>2024</v>
      </c>
      <c r="B149">
        <v>1</v>
      </c>
      <c r="C149" t="s">
        <v>31</v>
      </c>
      <c r="D149" t="s">
        <v>32</v>
      </c>
      <c r="E149">
        <v>31</v>
      </c>
      <c r="F149">
        <v>0.56999999999999995</v>
      </c>
      <c r="G149">
        <f t="shared" si="4"/>
        <v>2.4838709677419355</v>
      </c>
      <c r="H149">
        <v>77</v>
      </c>
      <c r="I149">
        <v>25</v>
      </c>
      <c r="J149">
        <v>82</v>
      </c>
      <c r="K149">
        <v>144</v>
      </c>
      <c r="L149">
        <v>110</v>
      </c>
      <c r="M149">
        <v>83</v>
      </c>
      <c r="N149">
        <v>83</v>
      </c>
      <c r="O149">
        <v>101</v>
      </c>
      <c r="P149">
        <v>85</v>
      </c>
      <c r="Q149">
        <v>57</v>
      </c>
      <c r="R149">
        <v>56</v>
      </c>
      <c r="S149">
        <v>86</v>
      </c>
      <c r="T149">
        <v>45</v>
      </c>
      <c r="U149">
        <v>95</v>
      </c>
      <c r="V149">
        <v>63</v>
      </c>
      <c r="W149">
        <v>130</v>
      </c>
      <c r="X149">
        <v>355</v>
      </c>
      <c r="Y149">
        <v>670</v>
      </c>
      <c r="Z149">
        <v>45</v>
      </c>
      <c r="AA149">
        <v>180</v>
      </c>
      <c r="AB149">
        <v>74</v>
      </c>
      <c r="AC149">
        <v>92</v>
      </c>
      <c r="AD149">
        <v>228</v>
      </c>
      <c r="AE149">
        <v>93</v>
      </c>
      <c r="AF149">
        <v>138</v>
      </c>
    </row>
    <row r="150" spans="1:32" x14ac:dyDescent="0.3">
      <c r="A150">
        <v>2024</v>
      </c>
      <c r="B150">
        <v>2</v>
      </c>
      <c r="C150" t="s">
        <v>35</v>
      </c>
      <c r="D150" t="s">
        <v>36</v>
      </c>
      <c r="E150">
        <v>27</v>
      </c>
      <c r="F150">
        <v>0.39</v>
      </c>
      <c r="G150">
        <f t="shared" si="4"/>
        <v>0.85185185185185186</v>
      </c>
      <c r="H150">
        <v>23</v>
      </c>
      <c r="I150">
        <v>26</v>
      </c>
      <c r="J150">
        <v>78</v>
      </c>
      <c r="K150">
        <v>87</v>
      </c>
      <c r="L150">
        <v>60</v>
      </c>
      <c r="M150">
        <v>70</v>
      </c>
      <c r="N150">
        <v>56</v>
      </c>
      <c r="O150">
        <v>72</v>
      </c>
      <c r="P150">
        <v>101</v>
      </c>
      <c r="Q150">
        <v>64</v>
      </c>
      <c r="R150">
        <v>127</v>
      </c>
      <c r="S150">
        <v>81</v>
      </c>
      <c r="T150">
        <v>91</v>
      </c>
      <c r="U150">
        <v>43</v>
      </c>
      <c r="V150">
        <v>113</v>
      </c>
      <c r="W150">
        <v>235</v>
      </c>
      <c r="X150">
        <v>61</v>
      </c>
      <c r="Y150">
        <v>58</v>
      </c>
      <c r="Z150">
        <v>112</v>
      </c>
      <c r="AA150">
        <v>208</v>
      </c>
      <c r="AB150">
        <v>42</v>
      </c>
      <c r="AC150">
        <v>46</v>
      </c>
      <c r="AD150">
        <v>167</v>
      </c>
      <c r="AE150">
        <v>348</v>
      </c>
      <c r="AF150">
        <v>224</v>
      </c>
    </row>
    <row r="151" spans="1:32" x14ac:dyDescent="0.3">
      <c r="A151">
        <v>2024</v>
      </c>
      <c r="B151">
        <v>2</v>
      </c>
      <c r="C151" t="s">
        <v>35</v>
      </c>
      <c r="D151" t="s">
        <v>32</v>
      </c>
      <c r="E151">
        <v>22</v>
      </c>
      <c r="F151">
        <v>0.55000000000000004</v>
      </c>
      <c r="G151">
        <f t="shared" si="4"/>
        <v>3.9090909090909092</v>
      </c>
      <c r="H151">
        <v>86</v>
      </c>
      <c r="I151">
        <v>32</v>
      </c>
      <c r="J151">
        <v>59</v>
      </c>
      <c r="K151">
        <v>83</v>
      </c>
      <c r="L151">
        <v>147</v>
      </c>
      <c r="M151">
        <v>107</v>
      </c>
      <c r="N151">
        <v>79</v>
      </c>
      <c r="O151">
        <v>39</v>
      </c>
      <c r="P151">
        <v>67</v>
      </c>
      <c r="Q151">
        <v>104</v>
      </c>
      <c r="R151">
        <v>86</v>
      </c>
      <c r="S151">
        <v>95</v>
      </c>
      <c r="T151">
        <v>92</v>
      </c>
      <c r="U151">
        <v>52</v>
      </c>
      <c r="V151">
        <v>32</v>
      </c>
      <c r="W151">
        <v>85</v>
      </c>
      <c r="X151">
        <v>86</v>
      </c>
      <c r="Y151">
        <v>35</v>
      </c>
      <c r="Z151">
        <v>46</v>
      </c>
      <c r="AA151">
        <v>43</v>
      </c>
      <c r="AB151">
        <v>163</v>
      </c>
      <c r="AC151">
        <v>124</v>
      </c>
      <c r="AD151">
        <v>62</v>
      </c>
      <c r="AE151">
        <v>295</v>
      </c>
      <c r="AF151">
        <v>205</v>
      </c>
    </row>
    <row r="152" spans="1:32" x14ac:dyDescent="0.3">
      <c r="A152">
        <v>2023</v>
      </c>
      <c r="B152">
        <v>2</v>
      </c>
      <c r="C152" t="s">
        <v>35</v>
      </c>
      <c r="D152" t="s">
        <v>33</v>
      </c>
      <c r="E152">
        <v>27</v>
      </c>
      <c r="F152">
        <v>0.66</v>
      </c>
      <c r="G152">
        <f t="shared" si="4"/>
        <v>2.5925925925925926</v>
      </c>
      <c r="H152">
        <v>70</v>
      </c>
      <c r="I152">
        <v>27</v>
      </c>
      <c r="J152">
        <v>62</v>
      </c>
      <c r="K152">
        <v>69</v>
      </c>
      <c r="L152">
        <v>39</v>
      </c>
      <c r="M152">
        <v>126</v>
      </c>
      <c r="N152">
        <v>50</v>
      </c>
      <c r="O152">
        <v>148</v>
      </c>
      <c r="P152">
        <v>111</v>
      </c>
      <c r="Q152">
        <v>56</v>
      </c>
      <c r="R152">
        <v>48</v>
      </c>
      <c r="S152">
        <v>89</v>
      </c>
      <c r="T152">
        <v>34</v>
      </c>
      <c r="U152">
        <v>28</v>
      </c>
      <c r="V152">
        <v>116</v>
      </c>
      <c r="W152">
        <v>24</v>
      </c>
      <c r="X152">
        <v>327</v>
      </c>
      <c r="Y152">
        <v>172</v>
      </c>
      <c r="Z152">
        <v>266</v>
      </c>
      <c r="AA152">
        <v>189</v>
      </c>
      <c r="AB152">
        <v>505</v>
      </c>
      <c r="AC152">
        <v>204</v>
      </c>
      <c r="AD152">
        <v>12</v>
      </c>
      <c r="AE152">
        <v>339</v>
      </c>
      <c r="AF152">
        <v>27</v>
      </c>
    </row>
    <row r="153" spans="1:32" x14ac:dyDescent="0.3">
      <c r="A153">
        <v>2023</v>
      </c>
      <c r="B153">
        <v>2</v>
      </c>
      <c r="C153" t="s">
        <v>35</v>
      </c>
      <c r="D153" t="s">
        <v>34</v>
      </c>
      <c r="E153">
        <v>27</v>
      </c>
      <c r="F153">
        <v>0.43</v>
      </c>
      <c r="G153">
        <f t="shared" si="4"/>
        <v>4</v>
      </c>
      <c r="H153">
        <v>108</v>
      </c>
      <c r="I153">
        <v>31</v>
      </c>
      <c r="J153">
        <v>95</v>
      </c>
      <c r="K153">
        <v>74</v>
      </c>
      <c r="L153">
        <v>48</v>
      </c>
      <c r="M153">
        <v>38</v>
      </c>
      <c r="N153">
        <v>57</v>
      </c>
      <c r="O153">
        <v>86</v>
      </c>
      <c r="P153">
        <v>40</v>
      </c>
      <c r="Q153">
        <v>72</v>
      </c>
      <c r="R153">
        <v>105</v>
      </c>
      <c r="S153">
        <v>71</v>
      </c>
      <c r="T153">
        <v>131</v>
      </c>
      <c r="U153">
        <v>74</v>
      </c>
      <c r="V153">
        <v>75</v>
      </c>
      <c r="W153">
        <v>55</v>
      </c>
      <c r="X153">
        <v>897</v>
      </c>
      <c r="Y153">
        <v>20</v>
      </c>
      <c r="Z153">
        <v>277</v>
      </c>
      <c r="AA153">
        <v>252</v>
      </c>
      <c r="AB153">
        <v>88</v>
      </c>
      <c r="AC153">
        <v>48</v>
      </c>
      <c r="AD153">
        <v>180</v>
      </c>
      <c r="AE153">
        <v>63</v>
      </c>
      <c r="AF153">
        <v>134</v>
      </c>
    </row>
    <row r="154" spans="1:32" x14ac:dyDescent="0.3">
      <c r="A154">
        <v>2023</v>
      </c>
      <c r="B154">
        <v>3</v>
      </c>
      <c r="C154" t="s">
        <v>37</v>
      </c>
      <c r="D154" t="s">
        <v>34</v>
      </c>
      <c r="E154">
        <v>23</v>
      </c>
      <c r="F154">
        <v>0.64</v>
      </c>
      <c r="G154">
        <f t="shared" si="4"/>
        <v>1.0434782608695652</v>
      </c>
      <c r="H154">
        <v>24</v>
      </c>
      <c r="I154">
        <v>41</v>
      </c>
      <c r="J154">
        <v>49</v>
      </c>
      <c r="K154">
        <v>59</v>
      </c>
      <c r="L154">
        <v>45</v>
      </c>
      <c r="M154">
        <v>99</v>
      </c>
      <c r="N154">
        <v>52</v>
      </c>
      <c r="O154">
        <v>51</v>
      </c>
      <c r="P154">
        <v>127</v>
      </c>
      <c r="Q154">
        <v>61</v>
      </c>
      <c r="R154">
        <v>59</v>
      </c>
      <c r="S154">
        <v>53</v>
      </c>
      <c r="T154">
        <v>48</v>
      </c>
      <c r="U154">
        <v>68</v>
      </c>
      <c r="V154">
        <v>44</v>
      </c>
      <c r="W154">
        <v>42</v>
      </c>
      <c r="X154">
        <v>150</v>
      </c>
      <c r="Y154">
        <v>88</v>
      </c>
      <c r="Z154">
        <v>472</v>
      </c>
      <c r="AA154">
        <v>310</v>
      </c>
      <c r="AB154">
        <v>89</v>
      </c>
      <c r="AC154">
        <v>192</v>
      </c>
      <c r="AD154">
        <v>76</v>
      </c>
      <c r="AE154">
        <v>68</v>
      </c>
      <c r="AF154">
        <v>341</v>
      </c>
    </row>
    <row r="155" spans="1:32" x14ac:dyDescent="0.3">
      <c r="A155">
        <v>2023</v>
      </c>
      <c r="B155">
        <v>3</v>
      </c>
      <c r="C155" t="s">
        <v>37</v>
      </c>
      <c r="D155" t="s">
        <v>32</v>
      </c>
      <c r="E155">
        <v>55</v>
      </c>
      <c r="F155">
        <v>0.77</v>
      </c>
      <c r="G155">
        <f t="shared" si="4"/>
        <v>1.4</v>
      </c>
      <c r="H155">
        <v>77</v>
      </c>
      <c r="I155">
        <v>10</v>
      </c>
      <c r="J155">
        <v>112</v>
      </c>
      <c r="K155">
        <v>83</v>
      </c>
      <c r="L155">
        <v>113</v>
      </c>
      <c r="M155">
        <v>30</v>
      </c>
      <c r="N155">
        <v>68</v>
      </c>
      <c r="O155">
        <v>57</v>
      </c>
      <c r="P155">
        <v>70</v>
      </c>
      <c r="Q155">
        <v>44</v>
      </c>
      <c r="R155">
        <v>61</v>
      </c>
      <c r="S155">
        <v>94</v>
      </c>
      <c r="T155">
        <v>103</v>
      </c>
      <c r="U155">
        <v>58</v>
      </c>
      <c r="V155">
        <v>77</v>
      </c>
      <c r="W155">
        <v>220</v>
      </c>
      <c r="X155">
        <v>87</v>
      </c>
      <c r="Y155">
        <v>59</v>
      </c>
      <c r="Z155">
        <v>159</v>
      </c>
      <c r="AA155">
        <v>52</v>
      </c>
      <c r="AB155">
        <v>40</v>
      </c>
      <c r="AC155">
        <v>70</v>
      </c>
      <c r="AD155">
        <v>101</v>
      </c>
      <c r="AE155">
        <v>108</v>
      </c>
      <c r="AF155">
        <v>410</v>
      </c>
    </row>
    <row r="156" spans="1:32" x14ac:dyDescent="0.3">
      <c r="A156">
        <v>2023</v>
      </c>
      <c r="B156">
        <v>3</v>
      </c>
      <c r="C156" t="s">
        <v>37</v>
      </c>
      <c r="D156" t="s">
        <v>32</v>
      </c>
      <c r="E156">
        <v>86</v>
      </c>
      <c r="F156">
        <v>0.32</v>
      </c>
      <c r="G156">
        <f t="shared" si="4"/>
        <v>0.36046511627906974</v>
      </c>
      <c r="H156">
        <v>31</v>
      </c>
      <c r="I156">
        <v>35</v>
      </c>
      <c r="J156">
        <v>43</v>
      </c>
      <c r="K156">
        <v>107</v>
      </c>
      <c r="L156">
        <v>69</v>
      </c>
      <c r="M156">
        <v>31</v>
      </c>
      <c r="N156">
        <v>51</v>
      </c>
      <c r="O156">
        <v>102</v>
      </c>
      <c r="P156">
        <v>56</v>
      </c>
      <c r="Q156">
        <v>73</v>
      </c>
      <c r="R156">
        <v>86</v>
      </c>
      <c r="S156">
        <v>93</v>
      </c>
      <c r="T156">
        <v>95</v>
      </c>
      <c r="U156">
        <v>121</v>
      </c>
      <c r="V156">
        <v>30</v>
      </c>
      <c r="W156">
        <v>115</v>
      </c>
      <c r="X156">
        <v>31</v>
      </c>
      <c r="Y156">
        <v>187</v>
      </c>
      <c r="Z156">
        <v>112</v>
      </c>
      <c r="AA156">
        <v>213</v>
      </c>
      <c r="AB156">
        <v>193</v>
      </c>
      <c r="AC156">
        <v>126</v>
      </c>
      <c r="AD156">
        <v>618</v>
      </c>
      <c r="AE156">
        <v>235</v>
      </c>
      <c r="AF156">
        <v>29</v>
      </c>
    </row>
    <row r="157" spans="1:32" x14ac:dyDescent="0.3">
      <c r="A157">
        <v>2023</v>
      </c>
      <c r="B157">
        <v>3</v>
      </c>
      <c r="C157" t="s">
        <v>37</v>
      </c>
      <c r="D157" t="s">
        <v>36</v>
      </c>
      <c r="E157">
        <v>25</v>
      </c>
      <c r="F157">
        <v>0.47</v>
      </c>
      <c r="G157">
        <f t="shared" si="4"/>
        <v>1.44</v>
      </c>
      <c r="H157">
        <v>36</v>
      </c>
      <c r="I157">
        <v>30</v>
      </c>
      <c r="J157">
        <v>120</v>
      </c>
      <c r="K157">
        <v>41</v>
      </c>
      <c r="L157">
        <v>49</v>
      </c>
      <c r="M157">
        <v>81</v>
      </c>
      <c r="N157">
        <v>137</v>
      </c>
      <c r="O157">
        <v>40</v>
      </c>
      <c r="P157">
        <v>111</v>
      </c>
      <c r="Q157">
        <v>138</v>
      </c>
      <c r="R157">
        <v>61</v>
      </c>
      <c r="S157">
        <v>30</v>
      </c>
      <c r="T157">
        <v>62</v>
      </c>
      <c r="U157">
        <v>72</v>
      </c>
      <c r="V157">
        <v>96</v>
      </c>
      <c r="W157">
        <v>62</v>
      </c>
      <c r="X157">
        <v>215</v>
      </c>
      <c r="Y157">
        <v>120</v>
      </c>
      <c r="Z157">
        <v>378</v>
      </c>
      <c r="AA157">
        <v>111</v>
      </c>
      <c r="AB157">
        <v>85</v>
      </c>
      <c r="AC157">
        <v>163</v>
      </c>
      <c r="AD157">
        <v>28</v>
      </c>
      <c r="AE157">
        <v>157</v>
      </c>
      <c r="AF157">
        <v>236</v>
      </c>
    </row>
    <row r="158" spans="1:32" x14ac:dyDescent="0.3">
      <c r="A158">
        <v>2023</v>
      </c>
      <c r="B158">
        <v>4</v>
      </c>
      <c r="C158" t="s">
        <v>38</v>
      </c>
      <c r="D158" t="s">
        <v>36</v>
      </c>
      <c r="E158">
        <v>49</v>
      </c>
      <c r="F158">
        <v>0.75</v>
      </c>
      <c r="G158">
        <f t="shared" si="4"/>
        <v>1</v>
      </c>
      <c r="H158">
        <v>49</v>
      </c>
      <c r="I158">
        <v>19</v>
      </c>
      <c r="J158">
        <v>99</v>
      </c>
      <c r="K158">
        <v>102</v>
      </c>
      <c r="L158">
        <v>106</v>
      </c>
      <c r="M158">
        <v>66</v>
      </c>
      <c r="N158">
        <v>26</v>
      </c>
      <c r="O158">
        <v>38</v>
      </c>
      <c r="P158">
        <v>64</v>
      </c>
      <c r="Q158">
        <v>58</v>
      </c>
      <c r="R158">
        <v>143</v>
      </c>
      <c r="S158">
        <v>102</v>
      </c>
      <c r="T158">
        <v>51</v>
      </c>
      <c r="U158">
        <v>48</v>
      </c>
      <c r="V158">
        <v>81</v>
      </c>
      <c r="W158">
        <v>22</v>
      </c>
      <c r="X158">
        <v>42</v>
      </c>
      <c r="Y158">
        <v>95</v>
      </c>
      <c r="Z158">
        <v>104</v>
      </c>
      <c r="AA158">
        <v>368</v>
      </c>
      <c r="AB158">
        <v>389</v>
      </c>
      <c r="AC158">
        <v>368</v>
      </c>
      <c r="AD158">
        <v>39</v>
      </c>
      <c r="AE158">
        <v>124</v>
      </c>
      <c r="AF158">
        <v>354</v>
      </c>
    </row>
    <row r="159" spans="1:32" x14ac:dyDescent="0.3">
      <c r="A159">
        <v>2023</v>
      </c>
      <c r="B159">
        <v>4</v>
      </c>
      <c r="C159" t="s">
        <v>38</v>
      </c>
      <c r="D159" t="s">
        <v>34</v>
      </c>
      <c r="E159">
        <v>71</v>
      </c>
      <c r="F159">
        <v>0.38</v>
      </c>
      <c r="G159">
        <f t="shared" si="4"/>
        <v>0.61971830985915488</v>
      </c>
      <c r="H159">
        <v>44</v>
      </c>
      <c r="I159">
        <v>9</v>
      </c>
      <c r="J159">
        <v>71</v>
      </c>
      <c r="K159">
        <v>74</v>
      </c>
      <c r="L159">
        <v>87</v>
      </c>
      <c r="M159">
        <v>117</v>
      </c>
      <c r="N159">
        <v>57</v>
      </c>
      <c r="O159">
        <v>75</v>
      </c>
      <c r="P159">
        <v>67</v>
      </c>
      <c r="Q159">
        <v>84</v>
      </c>
      <c r="R159">
        <v>34</v>
      </c>
      <c r="S159">
        <v>37</v>
      </c>
      <c r="T159">
        <v>133</v>
      </c>
      <c r="U159">
        <v>38</v>
      </c>
      <c r="V159">
        <v>16</v>
      </c>
      <c r="W159">
        <v>351</v>
      </c>
      <c r="X159">
        <v>235</v>
      </c>
      <c r="Y159">
        <v>163</v>
      </c>
      <c r="Z159">
        <v>172</v>
      </c>
      <c r="AA159">
        <v>68</v>
      </c>
      <c r="AB159">
        <v>89</v>
      </c>
      <c r="AC159">
        <v>119</v>
      </c>
      <c r="AD159">
        <v>66</v>
      </c>
      <c r="AE159">
        <v>86</v>
      </c>
      <c r="AF159">
        <v>75</v>
      </c>
    </row>
    <row r="160" spans="1:32" x14ac:dyDescent="0.3">
      <c r="A160">
        <v>2023</v>
      </c>
      <c r="B160">
        <v>4</v>
      </c>
      <c r="C160" t="s">
        <v>38</v>
      </c>
      <c r="D160" t="s">
        <v>33</v>
      </c>
      <c r="E160">
        <v>26</v>
      </c>
      <c r="F160">
        <v>0.72</v>
      </c>
      <c r="G160">
        <f t="shared" si="4"/>
        <v>0.92307692307692313</v>
      </c>
      <c r="H160">
        <v>24</v>
      </c>
      <c r="I160">
        <v>16</v>
      </c>
      <c r="J160">
        <v>82</v>
      </c>
      <c r="K160">
        <v>43</v>
      </c>
      <c r="L160">
        <v>118</v>
      </c>
      <c r="M160">
        <v>83</v>
      </c>
      <c r="N160">
        <v>45</v>
      </c>
      <c r="O160">
        <v>78</v>
      </c>
      <c r="P160">
        <v>43</v>
      </c>
      <c r="Q160">
        <v>142</v>
      </c>
      <c r="R160">
        <v>118</v>
      </c>
      <c r="S160">
        <v>59</v>
      </c>
      <c r="T160">
        <v>45</v>
      </c>
      <c r="U160">
        <v>71</v>
      </c>
      <c r="V160">
        <v>65</v>
      </c>
      <c r="W160">
        <v>152</v>
      </c>
      <c r="X160">
        <v>106</v>
      </c>
      <c r="Y160">
        <v>93</v>
      </c>
      <c r="Z160">
        <v>226</v>
      </c>
      <c r="AA160">
        <v>40</v>
      </c>
      <c r="AB160">
        <v>287</v>
      </c>
      <c r="AC160">
        <v>66</v>
      </c>
      <c r="AD160">
        <v>64</v>
      </c>
      <c r="AE160">
        <v>26</v>
      </c>
      <c r="AF160">
        <v>97</v>
      </c>
    </row>
    <row r="161" spans="1:32" x14ac:dyDescent="0.3">
      <c r="A161">
        <v>2023</v>
      </c>
      <c r="B161">
        <v>4</v>
      </c>
      <c r="C161" t="s">
        <v>38</v>
      </c>
      <c r="D161" t="s">
        <v>33</v>
      </c>
      <c r="E161">
        <v>41</v>
      </c>
      <c r="F161">
        <v>0.46</v>
      </c>
      <c r="G161">
        <f t="shared" si="4"/>
        <v>1.1707317073170731</v>
      </c>
      <c r="H161">
        <v>48</v>
      </c>
      <c r="I161">
        <v>19</v>
      </c>
      <c r="J161">
        <v>44</v>
      </c>
      <c r="K161">
        <v>119</v>
      </c>
      <c r="L161">
        <v>50</v>
      </c>
      <c r="M161">
        <v>37</v>
      </c>
      <c r="N161">
        <v>73</v>
      </c>
      <c r="O161">
        <v>75</v>
      </c>
      <c r="P161">
        <v>80</v>
      </c>
      <c r="Q161">
        <v>49</v>
      </c>
      <c r="R161">
        <v>88</v>
      </c>
      <c r="S161">
        <v>49</v>
      </c>
      <c r="T161">
        <v>52</v>
      </c>
      <c r="U161">
        <v>122</v>
      </c>
      <c r="V161">
        <v>91</v>
      </c>
      <c r="W161">
        <v>9</v>
      </c>
      <c r="X161">
        <v>38</v>
      </c>
      <c r="Y161">
        <v>221</v>
      </c>
      <c r="Z161">
        <v>112</v>
      </c>
      <c r="AA161">
        <v>31</v>
      </c>
      <c r="AB161">
        <v>86</v>
      </c>
      <c r="AC161">
        <v>64</v>
      </c>
      <c r="AD161">
        <v>145</v>
      </c>
      <c r="AE161">
        <v>97</v>
      </c>
      <c r="AF161">
        <v>465</v>
      </c>
    </row>
    <row r="162" spans="1:32" x14ac:dyDescent="0.3">
      <c r="A162">
        <v>2023</v>
      </c>
      <c r="B162">
        <v>5</v>
      </c>
      <c r="C162" t="s">
        <v>39</v>
      </c>
      <c r="D162" t="s">
        <v>32</v>
      </c>
      <c r="E162">
        <v>42</v>
      </c>
      <c r="F162">
        <v>0.32</v>
      </c>
      <c r="G162">
        <f t="shared" ref="G162:G193" si="5">H162/E162</f>
        <v>1.4047619047619047</v>
      </c>
      <c r="H162">
        <v>59</v>
      </c>
      <c r="I162">
        <v>29</v>
      </c>
      <c r="J162">
        <v>50</v>
      </c>
      <c r="K162">
        <v>63</v>
      </c>
      <c r="L162">
        <v>89</v>
      </c>
      <c r="M162">
        <v>100</v>
      </c>
      <c r="N162">
        <v>55</v>
      </c>
      <c r="O162">
        <v>62</v>
      </c>
      <c r="P162">
        <v>62</v>
      </c>
      <c r="Q162">
        <v>75</v>
      </c>
      <c r="R162">
        <v>47</v>
      </c>
      <c r="S162">
        <v>102</v>
      </c>
      <c r="T162">
        <v>72</v>
      </c>
      <c r="U162">
        <v>50</v>
      </c>
      <c r="V162">
        <v>68</v>
      </c>
      <c r="W162">
        <v>135</v>
      </c>
      <c r="X162">
        <v>37</v>
      </c>
      <c r="Y162">
        <v>298</v>
      </c>
      <c r="Z162">
        <v>111</v>
      </c>
      <c r="AA162">
        <v>130</v>
      </c>
      <c r="AB162">
        <v>63</v>
      </c>
      <c r="AC162">
        <v>91</v>
      </c>
      <c r="AD162">
        <v>91</v>
      </c>
      <c r="AE162">
        <v>48</v>
      </c>
      <c r="AF162">
        <v>143</v>
      </c>
    </row>
    <row r="163" spans="1:32" x14ac:dyDescent="0.3">
      <c r="A163">
        <v>2023</v>
      </c>
      <c r="B163">
        <v>5</v>
      </c>
      <c r="C163" t="s">
        <v>39</v>
      </c>
      <c r="D163" t="s">
        <v>34</v>
      </c>
      <c r="E163">
        <v>55</v>
      </c>
      <c r="F163">
        <v>0.35</v>
      </c>
      <c r="G163">
        <f t="shared" si="5"/>
        <v>0.50909090909090904</v>
      </c>
      <c r="H163">
        <v>28</v>
      </c>
      <c r="I163">
        <v>33</v>
      </c>
      <c r="J163">
        <v>102</v>
      </c>
      <c r="K163">
        <v>31</v>
      </c>
      <c r="L163">
        <v>55</v>
      </c>
      <c r="M163">
        <v>131</v>
      </c>
      <c r="N163">
        <v>51</v>
      </c>
      <c r="O163">
        <v>69</v>
      </c>
      <c r="P163">
        <v>50</v>
      </c>
      <c r="Q163">
        <v>56</v>
      </c>
      <c r="R163">
        <v>80</v>
      </c>
      <c r="S163">
        <v>86</v>
      </c>
      <c r="T163">
        <v>45</v>
      </c>
      <c r="U163">
        <v>51</v>
      </c>
      <c r="V163">
        <v>18</v>
      </c>
      <c r="W163">
        <v>314</v>
      </c>
      <c r="X163">
        <v>63</v>
      </c>
      <c r="Y163">
        <v>312</v>
      </c>
      <c r="Z163">
        <v>233</v>
      </c>
      <c r="AA163">
        <v>63</v>
      </c>
      <c r="AB163">
        <v>27</v>
      </c>
      <c r="AC163">
        <v>185</v>
      </c>
      <c r="AD163">
        <v>71</v>
      </c>
      <c r="AE163">
        <v>110</v>
      </c>
      <c r="AF163">
        <v>78</v>
      </c>
    </row>
    <row r="164" spans="1:32" x14ac:dyDescent="0.3">
      <c r="A164">
        <v>2023</v>
      </c>
      <c r="B164">
        <v>5</v>
      </c>
      <c r="C164" t="s">
        <v>39</v>
      </c>
      <c r="D164" t="s">
        <v>32</v>
      </c>
      <c r="E164">
        <v>32</v>
      </c>
      <c r="F164">
        <v>0.41</v>
      </c>
      <c r="G164">
        <f t="shared" si="5"/>
        <v>1.90625</v>
      </c>
      <c r="H164">
        <v>61</v>
      </c>
      <c r="I164">
        <v>19</v>
      </c>
      <c r="J164">
        <v>127</v>
      </c>
      <c r="K164">
        <v>68</v>
      </c>
      <c r="L164">
        <v>46</v>
      </c>
      <c r="M164">
        <v>105</v>
      </c>
      <c r="N164">
        <v>43</v>
      </c>
      <c r="O164">
        <v>113</v>
      </c>
      <c r="P164">
        <v>89</v>
      </c>
      <c r="Q164">
        <v>48</v>
      </c>
      <c r="R164">
        <v>59</v>
      </c>
      <c r="S164">
        <v>146</v>
      </c>
      <c r="T164">
        <v>63</v>
      </c>
      <c r="U164">
        <v>54</v>
      </c>
      <c r="V164">
        <v>52</v>
      </c>
      <c r="W164">
        <v>56</v>
      </c>
      <c r="X164">
        <v>375</v>
      </c>
      <c r="Y164">
        <v>195</v>
      </c>
      <c r="Z164">
        <v>30</v>
      </c>
      <c r="AA164">
        <v>23</v>
      </c>
      <c r="AB164">
        <v>596</v>
      </c>
      <c r="AC164">
        <v>97</v>
      </c>
      <c r="AD164">
        <v>69</v>
      </c>
      <c r="AE164">
        <v>106</v>
      </c>
      <c r="AF164">
        <v>238</v>
      </c>
    </row>
    <row r="165" spans="1:32" x14ac:dyDescent="0.3">
      <c r="A165">
        <v>2023</v>
      </c>
      <c r="B165">
        <v>5</v>
      </c>
      <c r="C165" t="s">
        <v>39</v>
      </c>
      <c r="D165" t="s">
        <v>36</v>
      </c>
      <c r="E165">
        <v>32</v>
      </c>
      <c r="F165">
        <v>0.32</v>
      </c>
      <c r="G165">
        <f t="shared" si="5"/>
        <v>2.375</v>
      </c>
      <c r="H165">
        <v>76</v>
      </c>
      <c r="I165">
        <v>41</v>
      </c>
      <c r="J165">
        <v>91</v>
      </c>
      <c r="K165">
        <v>42</v>
      </c>
      <c r="L165">
        <v>111</v>
      </c>
      <c r="M165">
        <v>113</v>
      </c>
      <c r="N165">
        <v>46</v>
      </c>
      <c r="O165">
        <v>94</v>
      </c>
      <c r="P165">
        <v>57</v>
      </c>
      <c r="Q165">
        <v>36</v>
      </c>
      <c r="R165">
        <v>89</v>
      </c>
      <c r="S165">
        <v>110</v>
      </c>
      <c r="T165">
        <v>68</v>
      </c>
      <c r="U165">
        <v>75</v>
      </c>
      <c r="V165">
        <v>25</v>
      </c>
      <c r="W165">
        <v>400</v>
      </c>
      <c r="X165">
        <v>126</v>
      </c>
      <c r="Y165">
        <v>440</v>
      </c>
      <c r="Z165">
        <v>36</v>
      </c>
      <c r="AA165">
        <v>169</v>
      </c>
      <c r="AB165">
        <v>407</v>
      </c>
      <c r="AC165">
        <v>217</v>
      </c>
      <c r="AD165">
        <v>96</v>
      </c>
      <c r="AE165">
        <v>115</v>
      </c>
      <c r="AF165">
        <v>72</v>
      </c>
    </row>
    <row r="166" spans="1:32" x14ac:dyDescent="0.3">
      <c r="A166">
        <v>2023</v>
      </c>
      <c r="B166">
        <v>6</v>
      </c>
      <c r="C166" t="s">
        <v>40</v>
      </c>
      <c r="D166" t="s">
        <v>32</v>
      </c>
      <c r="E166">
        <v>44</v>
      </c>
      <c r="F166">
        <v>0.33</v>
      </c>
      <c r="G166">
        <f t="shared" si="5"/>
        <v>1.3636363636363635</v>
      </c>
      <c r="H166">
        <v>60</v>
      </c>
      <c r="I166">
        <v>36</v>
      </c>
      <c r="J166">
        <v>112</v>
      </c>
      <c r="K166">
        <v>59</v>
      </c>
      <c r="L166">
        <v>133</v>
      </c>
      <c r="M166">
        <v>75</v>
      </c>
      <c r="N166">
        <v>95</v>
      </c>
      <c r="O166">
        <v>46</v>
      </c>
      <c r="P166">
        <v>52</v>
      </c>
      <c r="Q166">
        <v>98</v>
      </c>
      <c r="R166">
        <v>56</v>
      </c>
      <c r="S166">
        <v>129</v>
      </c>
      <c r="T166">
        <v>112</v>
      </c>
      <c r="U166">
        <v>100</v>
      </c>
      <c r="V166">
        <v>49</v>
      </c>
      <c r="W166">
        <v>173</v>
      </c>
      <c r="X166">
        <v>325</v>
      </c>
      <c r="Y166">
        <v>152</v>
      </c>
      <c r="Z166">
        <v>73</v>
      </c>
      <c r="AA166">
        <v>56</v>
      </c>
      <c r="AB166">
        <v>113</v>
      </c>
      <c r="AC166">
        <v>36</v>
      </c>
      <c r="AD166">
        <v>260</v>
      </c>
      <c r="AE166">
        <v>522</v>
      </c>
      <c r="AF166">
        <v>132</v>
      </c>
    </row>
    <row r="167" spans="1:32" x14ac:dyDescent="0.3">
      <c r="A167">
        <v>2023</v>
      </c>
      <c r="B167">
        <v>6</v>
      </c>
      <c r="C167" t="s">
        <v>40</v>
      </c>
      <c r="D167" t="s">
        <v>33</v>
      </c>
      <c r="E167">
        <v>42</v>
      </c>
      <c r="F167">
        <v>0.32</v>
      </c>
      <c r="G167">
        <f t="shared" si="5"/>
        <v>2.1428571428571428</v>
      </c>
      <c r="H167">
        <v>90</v>
      </c>
      <c r="I167">
        <v>10</v>
      </c>
      <c r="J167">
        <v>43</v>
      </c>
      <c r="K167">
        <v>79</v>
      </c>
      <c r="L167">
        <v>67</v>
      </c>
      <c r="M167">
        <v>107</v>
      </c>
      <c r="N167">
        <v>78</v>
      </c>
      <c r="O167">
        <v>100</v>
      </c>
      <c r="P167">
        <v>64</v>
      </c>
      <c r="Q167">
        <v>79</v>
      </c>
      <c r="R167">
        <v>127</v>
      </c>
      <c r="S167">
        <v>49</v>
      </c>
      <c r="T167">
        <v>76</v>
      </c>
      <c r="U167">
        <v>93</v>
      </c>
      <c r="V167">
        <v>18</v>
      </c>
      <c r="W167">
        <v>103</v>
      </c>
      <c r="X167">
        <v>202</v>
      </c>
      <c r="Y167">
        <v>78</v>
      </c>
      <c r="Z167">
        <v>267</v>
      </c>
      <c r="AA167">
        <v>165</v>
      </c>
      <c r="AB167">
        <v>37</v>
      </c>
      <c r="AC167">
        <v>171</v>
      </c>
      <c r="AD167">
        <v>38</v>
      </c>
      <c r="AE167">
        <v>85</v>
      </c>
      <c r="AF167">
        <v>62</v>
      </c>
    </row>
    <row r="168" spans="1:32" x14ac:dyDescent="0.3">
      <c r="A168">
        <v>2023</v>
      </c>
      <c r="B168">
        <v>6</v>
      </c>
      <c r="C168" t="s">
        <v>40</v>
      </c>
      <c r="D168" t="s">
        <v>36</v>
      </c>
      <c r="E168">
        <v>81</v>
      </c>
      <c r="F168">
        <v>0.37</v>
      </c>
      <c r="G168">
        <f t="shared" si="5"/>
        <v>1.1234567901234569</v>
      </c>
      <c r="H168">
        <v>91</v>
      </c>
      <c r="I168">
        <v>39</v>
      </c>
      <c r="J168">
        <v>59</v>
      </c>
      <c r="K168">
        <v>101</v>
      </c>
      <c r="L168">
        <v>71</v>
      </c>
      <c r="M168">
        <v>84</v>
      </c>
      <c r="N168">
        <v>51</v>
      </c>
      <c r="O168">
        <v>92</v>
      </c>
      <c r="P168">
        <v>127</v>
      </c>
      <c r="Q168">
        <v>64</v>
      </c>
      <c r="R168">
        <v>45</v>
      </c>
      <c r="S168">
        <v>53</v>
      </c>
      <c r="T168">
        <v>42</v>
      </c>
      <c r="U168">
        <v>116</v>
      </c>
      <c r="V168">
        <v>64</v>
      </c>
      <c r="W168">
        <v>80</v>
      </c>
      <c r="X168">
        <v>121</v>
      </c>
      <c r="Y168">
        <v>88</v>
      </c>
      <c r="Z168">
        <v>209</v>
      </c>
      <c r="AA168">
        <v>70</v>
      </c>
      <c r="AB168">
        <v>316</v>
      </c>
      <c r="AC168">
        <v>384</v>
      </c>
      <c r="AD168">
        <v>218</v>
      </c>
      <c r="AE168">
        <v>290</v>
      </c>
      <c r="AF168">
        <v>226</v>
      </c>
    </row>
    <row r="169" spans="1:32" x14ac:dyDescent="0.3">
      <c r="A169">
        <v>2023</v>
      </c>
      <c r="B169">
        <v>6</v>
      </c>
      <c r="C169" t="s">
        <v>40</v>
      </c>
      <c r="D169" t="s">
        <v>33</v>
      </c>
      <c r="E169">
        <v>46</v>
      </c>
      <c r="F169">
        <v>0.52</v>
      </c>
      <c r="G169">
        <f t="shared" si="5"/>
        <v>1.2173913043478262</v>
      </c>
      <c r="H169">
        <v>56</v>
      </c>
      <c r="I169">
        <v>8</v>
      </c>
      <c r="J169">
        <v>49</v>
      </c>
      <c r="K169">
        <v>91</v>
      </c>
      <c r="L169">
        <v>102</v>
      </c>
      <c r="M169">
        <v>71</v>
      </c>
      <c r="N169">
        <v>142</v>
      </c>
      <c r="O169">
        <v>119</v>
      </c>
      <c r="P169">
        <v>78</v>
      </c>
      <c r="Q169">
        <v>37</v>
      </c>
      <c r="R169">
        <v>84</v>
      </c>
      <c r="S169">
        <v>34</v>
      </c>
      <c r="T169">
        <v>66</v>
      </c>
      <c r="U169">
        <v>94</v>
      </c>
      <c r="V169">
        <v>63</v>
      </c>
      <c r="W169">
        <v>36</v>
      </c>
      <c r="X169">
        <v>145</v>
      </c>
      <c r="Y169">
        <v>116</v>
      </c>
      <c r="Z169">
        <v>47</v>
      </c>
      <c r="AA169">
        <v>43</v>
      </c>
      <c r="AB169">
        <v>89</v>
      </c>
      <c r="AC169">
        <v>70</v>
      </c>
      <c r="AD169">
        <v>363</v>
      </c>
      <c r="AE169">
        <v>306</v>
      </c>
      <c r="AF169">
        <v>165</v>
      </c>
    </row>
    <row r="170" spans="1:32" x14ac:dyDescent="0.3">
      <c r="A170">
        <v>2023</v>
      </c>
      <c r="B170">
        <v>7</v>
      </c>
      <c r="C170" t="s">
        <v>41</v>
      </c>
      <c r="D170" t="s">
        <v>33</v>
      </c>
      <c r="E170">
        <v>44</v>
      </c>
      <c r="F170">
        <v>0.62</v>
      </c>
      <c r="G170">
        <f t="shared" si="5"/>
        <v>1.3181818181818181</v>
      </c>
      <c r="H170">
        <v>58</v>
      </c>
      <c r="I170">
        <v>33</v>
      </c>
      <c r="J170">
        <v>119</v>
      </c>
      <c r="K170">
        <v>62</v>
      </c>
      <c r="L170">
        <v>130</v>
      </c>
      <c r="M170">
        <v>93</v>
      </c>
      <c r="N170">
        <v>100</v>
      </c>
      <c r="O170">
        <v>125</v>
      </c>
      <c r="P170">
        <v>91</v>
      </c>
      <c r="Q170">
        <v>47</v>
      </c>
      <c r="R170">
        <v>142</v>
      </c>
      <c r="S170">
        <v>51</v>
      </c>
      <c r="T170">
        <v>74</v>
      </c>
      <c r="U170">
        <v>93</v>
      </c>
      <c r="V170">
        <v>50</v>
      </c>
      <c r="W170">
        <v>8</v>
      </c>
      <c r="X170">
        <v>706</v>
      </c>
      <c r="Y170">
        <v>134</v>
      </c>
      <c r="Z170">
        <v>210</v>
      </c>
      <c r="AA170">
        <v>122</v>
      </c>
      <c r="AB170">
        <v>196</v>
      </c>
      <c r="AC170">
        <v>130</v>
      </c>
      <c r="AD170">
        <v>141</v>
      </c>
      <c r="AE170">
        <v>339</v>
      </c>
      <c r="AF170">
        <v>6</v>
      </c>
    </row>
    <row r="171" spans="1:32" x14ac:dyDescent="0.3">
      <c r="A171">
        <v>2023</v>
      </c>
      <c r="B171">
        <v>7</v>
      </c>
      <c r="C171" t="s">
        <v>41</v>
      </c>
      <c r="D171" t="s">
        <v>36</v>
      </c>
      <c r="E171">
        <v>72</v>
      </c>
      <c r="F171">
        <v>0.51</v>
      </c>
      <c r="G171">
        <f t="shared" si="5"/>
        <v>1.4027777777777777</v>
      </c>
      <c r="H171">
        <v>101</v>
      </c>
      <c r="I171">
        <v>14</v>
      </c>
      <c r="J171">
        <v>68</v>
      </c>
      <c r="K171">
        <v>49</v>
      </c>
      <c r="L171">
        <v>143</v>
      </c>
      <c r="M171">
        <v>113</v>
      </c>
      <c r="N171">
        <v>128</v>
      </c>
      <c r="O171">
        <v>98</v>
      </c>
      <c r="P171">
        <v>64</v>
      </c>
      <c r="Q171">
        <v>88</v>
      </c>
      <c r="R171">
        <v>46</v>
      </c>
      <c r="S171">
        <v>92</v>
      </c>
      <c r="T171">
        <v>38</v>
      </c>
      <c r="U171">
        <v>58</v>
      </c>
      <c r="V171">
        <v>66</v>
      </c>
      <c r="W171">
        <v>170</v>
      </c>
      <c r="X171">
        <v>87</v>
      </c>
      <c r="Y171">
        <v>130</v>
      </c>
      <c r="Z171">
        <v>31</v>
      </c>
      <c r="AA171">
        <v>174</v>
      </c>
      <c r="AB171">
        <v>187</v>
      </c>
      <c r="AC171">
        <v>81</v>
      </c>
      <c r="AD171">
        <v>74</v>
      </c>
      <c r="AE171">
        <v>64</v>
      </c>
      <c r="AF171">
        <v>70</v>
      </c>
    </row>
    <row r="172" spans="1:32" x14ac:dyDescent="0.3">
      <c r="A172">
        <v>2023</v>
      </c>
      <c r="B172">
        <v>7</v>
      </c>
      <c r="C172" t="s">
        <v>41</v>
      </c>
      <c r="D172" t="s">
        <v>33</v>
      </c>
      <c r="E172">
        <v>72</v>
      </c>
      <c r="F172">
        <v>0.57999999999999996</v>
      </c>
      <c r="G172">
        <f t="shared" si="5"/>
        <v>0.72222222222222221</v>
      </c>
      <c r="H172">
        <v>52</v>
      </c>
      <c r="I172">
        <v>24</v>
      </c>
      <c r="J172">
        <v>36</v>
      </c>
      <c r="K172">
        <v>84</v>
      </c>
      <c r="L172">
        <v>101</v>
      </c>
      <c r="M172">
        <v>42</v>
      </c>
      <c r="N172">
        <v>47</v>
      </c>
      <c r="O172">
        <v>57</v>
      </c>
      <c r="P172">
        <v>54</v>
      </c>
      <c r="Q172">
        <v>132</v>
      </c>
      <c r="R172">
        <v>95</v>
      </c>
      <c r="S172">
        <v>130</v>
      </c>
      <c r="T172">
        <v>113</v>
      </c>
      <c r="U172">
        <v>103</v>
      </c>
      <c r="V172">
        <v>125</v>
      </c>
      <c r="W172">
        <v>240</v>
      </c>
      <c r="X172">
        <v>66</v>
      </c>
      <c r="Y172">
        <v>392</v>
      </c>
      <c r="Z172">
        <v>192</v>
      </c>
      <c r="AA172">
        <v>73</v>
      </c>
      <c r="AB172">
        <v>57</v>
      </c>
      <c r="AC172">
        <v>130</v>
      </c>
      <c r="AD172">
        <v>44</v>
      </c>
      <c r="AE172">
        <v>48</v>
      </c>
      <c r="AF172">
        <v>50</v>
      </c>
    </row>
    <row r="173" spans="1:32" x14ac:dyDescent="0.3">
      <c r="A173">
        <v>2023</v>
      </c>
      <c r="B173">
        <v>7</v>
      </c>
      <c r="C173" t="s">
        <v>41</v>
      </c>
      <c r="D173" t="s">
        <v>36</v>
      </c>
      <c r="E173">
        <v>48</v>
      </c>
      <c r="F173">
        <v>0.43</v>
      </c>
      <c r="G173">
        <f t="shared" si="5"/>
        <v>1.1458333333333333</v>
      </c>
      <c r="H173">
        <v>55</v>
      </c>
      <c r="I173">
        <v>30</v>
      </c>
      <c r="J173">
        <v>62</v>
      </c>
      <c r="K173">
        <v>94</v>
      </c>
      <c r="L173">
        <v>89</v>
      </c>
      <c r="M173">
        <v>61</v>
      </c>
      <c r="N173">
        <v>48</v>
      </c>
      <c r="O173">
        <v>59</v>
      </c>
      <c r="P173">
        <v>42</v>
      </c>
      <c r="Q173">
        <v>71</v>
      </c>
      <c r="R173">
        <v>85</v>
      </c>
      <c r="S173">
        <v>69</v>
      </c>
      <c r="T173">
        <v>83</v>
      </c>
      <c r="U173">
        <v>54</v>
      </c>
      <c r="V173">
        <v>37</v>
      </c>
      <c r="W173">
        <v>333</v>
      </c>
      <c r="X173">
        <v>204</v>
      </c>
      <c r="Y173">
        <v>278</v>
      </c>
      <c r="Z173">
        <v>186</v>
      </c>
      <c r="AA173">
        <v>58</v>
      </c>
      <c r="AB173">
        <v>6</v>
      </c>
      <c r="AC173">
        <v>428</v>
      </c>
      <c r="AD173">
        <v>266</v>
      </c>
      <c r="AE173">
        <v>865</v>
      </c>
      <c r="AF173">
        <v>100</v>
      </c>
    </row>
    <row r="174" spans="1:32" x14ac:dyDescent="0.3">
      <c r="A174">
        <v>2023</v>
      </c>
      <c r="B174">
        <v>8</v>
      </c>
      <c r="C174" t="s">
        <v>42</v>
      </c>
      <c r="D174" t="s">
        <v>32</v>
      </c>
      <c r="E174">
        <v>60</v>
      </c>
      <c r="F174">
        <v>0.3</v>
      </c>
      <c r="G174">
        <f t="shared" si="5"/>
        <v>0.66666666666666663</v>
      </c>
      <c r="H174">
        <v>40</v>
      </c>
      <c r="I174">
        <v>14</v>
      </c>
      <c r="J174">
        <v>43</v>
      </c>
      <c r="K174">
        <v>75</v>
      </c>
      <c r="L174">
        <v>88</v>
      </c>
      <c r="M174">
        <v>107</v>
      </c>
      <c r="N174">
        <v>54</v>
      </c>
      <c r="O174">
        <v>83</v>
      </c>
      <c r="P174">
        <v>101</v>
      </c>
      <c r="Q174">
        <v>98</v>
      </c>
      <c r="R174">
        <v>37</v>
      </c>
      <c r="S174">
        <v>103</v>
      </c>
      <c r="T174">
        <v>79</v>
      </c>
      <c r="U174">
        <v>25</v>
      </c>
      <c r="V174">
        <v>68</v>
      </c>
      <c r="W174">
        <v>56</v>
      </c>
      <c r="X174">
        <v>27</v>
      </c>
      <c r="Y174">
        <v>119</v>
      </c>
      <c r="Z174">
        <v>130</v>
      </c>
      <c r="AA174">
        <v>289</v>
      </c>
      <c r="AB174">
        <v>362</v>
      </c>
      <c r="AC174">
        <v>62</v>
      </c>
      <c r="AD174">
        <v>222</v>
      </c>
      <c r="AE174">
        <v>75</v>
      </c>
      <c r="AF174">
        <v>223</v>
      </c>
    </row>
    <row r="175" spans="1:32" x14ac:dyDescent="0.3">
      <c r="A175">
        <v>2023</v>
      </c>
      <c r="B175">
        <v>8</v>
      </c>
      <c r="C175" t="s">
        <v>42</v>
      </c>
      <c r="D175" t="s">
        <v>33</v>
      </c>
      <c r="E175">
        <v>49</v>
      </c>
      <c r="F175">
        <v>0.52</v>
      </c>
      <c r="G175">
        <f t="shared" si="5"/>
        <v>0.81632653061224492</v>
      </c>
      <c r="H175">
        <v>40</v>
      </c>
      <c r="I175">
        <v>40</v>
      </c>
      <c r="J175">
        <v>76</v>
      </c>
      <c r="K175">
        <v>113</v>
      </c>
      <c r="L175">
        <v>90</v>
      </c>
      <c r="M175">
        <v>118</v>
      </c>
      <c r="N175">
        <v>82</v>
      </c>
      <c r="O175">
        <v>51</v>
      </c>
      <c r="P175">
        <v>109</v>
      </c>
      <c r="Q175">
        <v>133</v>
      </c>
      <c r="R175">
        <v>44</v>
      </c>
      <c r="S175">
        <v>28</v>
      </c>
      <c r="T175">
        <v>78</v>
      </c>
      <c r="U175">
        <v>44</v>
      </c>
      <c r="V175">
        <v>76</v>
      </c>
      <c r="W175">
        <v>187</v>
      </c>
      <c r="X175">
        <v>104</v>
      </c>
      <c r="Y175">
        <v>145</v>
      </c>
      <c r="Z175">
        <v>208</v>
      </c>
      <c r="AA175">
        <v>9</v>
      </c>
      <c r="AB175">
        <v>48</v>
      </c>
      <c r="AC175">
        <v>40</v>
      </c>
      <c r="AD175">
        <v>44</v>
      </c>
      <c r="AE175">
        <v>17</v>
      </c>
      <c r="AF175">
        <v>153</v>
      </c>
    </row>
    <row r="176" spans="1:32" x14ac:dyDescent="0.3">
      <c r="A176">
        <v>2023</v>
      </c>
      <c r="B176">
        <v>8</v>
      </c>
      <c r="C176" t="s">
        <v>42</v>
      </c>
      <c r="D176" t="s">
        <v>36</v>
      </c>
      <c r="E176">
        <v>23</v>
      </c>
      <c r="F176">
        <v>0.35</v>
      </c>
      <c r="G176">
        <f t="shared" si="5"/>
        <v>3</v>
      </c>
      <c r="H176">
        <v>69</v>
      </c>
      <c r="I176">
        <v>17</v>
      </c>
      <c r="J176">
        <v>121</v>
      </c>
      <c r="K176">
        <v>95</v>
      </c>
      <c r="L176">
        <v>100</v>
      </c>
      <c r="M176">
        <v>68</v>
      </c>
      <c r="N176">
        <v>104</v>
      </c>
      <c r="O176">
        <v>55</v>
      </c>
      <c r="P176">
        <v>62</v>
      </c>
      <c r="Q176">
        <v>113</v>
      </c>
      <c r="R176">
        <v>126</v>
      </c>
      <c r="S176">
        <v>57</v>
      </c>
      <c r="T176">
        <v>74</v>
      </c>
      <c r="U176">
        <v>61</v>
      </c>
      <c r="V176">
        <v>52</v>
      </c>
      <c r="W176">
        <v>106</v>
      </c>
      <c r="X176">
        <v>101</v>
      </c>
      <c r="Y176">
        <v>72</v>
      </c>
      <c r="Z176">
        <v>122</v>
      </c>
      <c r="AA176">
        <v>77</v>
      </c>
      <c r="AB176">
        <v>183</v>
      </c>
      <c r="AC176">
        <v>5</v>
      </c>
      <c r="AD176">
        <v>28</v>
      </c>
      <c r="AE176">
        <v>100</v>
      </c>
      <c r="AF176">
        <v>5</v>
      </c>
    </row>
    <row r="177" spans="1:32" x14ac:dyDescent="0.3">
      <c r="A177">
        <v>2023</v>
      </c>
      <c r="B177">
        <v>8</v>
      </c>
      <c r="C177" t="s">
        <v>42</v>
      </c>
      <c r="D177" t="s">
        <v>36</v>
      </c>
      <c r="E177">
        <v>47</v>
      </c>
      <c r="F177">
        <v>0.69</v>
      </c>
      <c r="G177">
        <f t="shared" si="5"/>
        <v>1.1276595744680851</v>
      </c>
      <c r="H177">
        <v>53</v>
      </c>
      <c r="I177">
        <v>19</v>
      </c>
      <c r="J177">
        <v>57</v>
      </c>
      <c r="K177">
        <v>91</v>
      </c>
      <c r="L177">
        <v>98</v>
      </c>
      <c r="M177">
        <v>97</v>
      </c>
      <c r="N177">
        <v>102</v>
      </c>
      <c r="O177">
        <v>84</v>
      </c>
      <c r="P177">
        <v>85</v>
      </c>
      <c r="Q177">
        <v>98</v>
      </c>
      <c r="R177">
        <v>141</v>
      </c>
      <c r="S177">
        <v>37</v>
      </c>
      <c r="T177">
        <v>69</v>
      </c>
      <c r="U177">
        <v>56</v>
      </c>
      <c r="V177">
        <v>38</v>
      </c>
      <c r="W177">
        <v>1</v>
      </c>
      <c r="X177">
        <v>168</v>
      </c>
      <c r="Y177">
        <v>209</v>
      </c>
      <c r="Z177">
        <v>281</v>
      </c>
      <c r="AA177">
        <v>680</v>
      </c>
      <c r="AB177">
        <v>154</v>
      </c>
      <c r="AC177">
        <v>2</v>
      </c>
      <c r="AD177">
        <v>78</v>
      </c>
      <c r="AE177">
        <v>198</v>
      </c>
      <c r="AF177">
        <v>229</v>
      </c>
    </row>
    <row r="178" spans="1:32" x14ac:dyDescent="0.3">
      <c r="A178">
        <v>2023</v>
      </c>
      <c r="B178">
        <v>9</v>
      </c>
      <c r="C178" t="s">
        <v>43</v>
      </c>
      <c r="D178" t="s">
        <v>33</v>
      </c>
      <c r="E178">
        <v>38</v>
      </c>
      <c r="F178">
        <v>0.59</v>
      </c>
      <c r="G178">
        <f t="shared" si="5"/>
        <v>1.3421052631578947</v>
      </c>
      <c r="H178">
        <v>51</v>
      </c>
      <c r="I178">
        <v>21</v>
      </c>
      <c r="J178">
        <v>64</v>
      </c>
      <c r="K178">
        <v>62</v>
      </c>
      <c r="L178">
        <v>57</v>
      </c>
      <c r="M178">
        <v>49</v>
      </c>
      <c r="N178">
        <v>141</v>
      </c>
      <c r="O178">
        <v>114</v>
      </c>
      <c r="P178">
        <v>103</v>
      </c>
      <c r="Q178">
        <v>41</v>
      </c>
      <c r="R178">
        <v>40</v>
      </c>
      <c r="S178">
        <v>58</v>
      </c>
      <c r="T178">
        <v>78</v>
      </c>
      <c r="U178">
        <v>46</v>
      </c>
      <c r="V178">
        <v>81</v>
      </c>
      <c r="W178">
        <v>174</v>
      </c>
      <c r="X178">
        <v>74</v>
      </c>
      <c r="Y178">
        <v>465</v>
      </c>
      <c r="Z178">
        <v>159</v>
      </c>
      <c r="AA178">
        <v>72</v>
      </c>
      <c r="AB178">
        <v>99</v>
      </c>
      <c r="AC178">
        <v>116</v>
      </c>
      <c r="AD178">
        <v>129</v>
      </c>
      <c r="AE178">
        <v>54</v>
      </c>
      <c r="AF178">
        <v>169</v>
      </c>
    </row>
    <row r="179" spans="1:32" x14ac:dyDescent="0.3">
      <c r="A179">
        <v>2023</v>
      </c>
      <c r="B179">
        <v>9</v>
      </c>
      <c r="C179" t="s">
        <v>43</v>
      </c>
      <c r="D179" t="s">
        <v>34</v>
      </c>
      <c r="E179">
        <v>19</v>
      </c>
      <c r="F179">
        <v>0.75</v>
      </c>
      <c r="G179">
        <f t="shared" si="5"/>
        <v>1.736842105263158</v>
      </c>
      <c r="H179">
        <v>33</v>
      </c>
      <c r="I179">
        <v>28</v>
      </c>
      <c r="J179">
        <v>66</v>
      </c>
      <c r="K179">
        <v>138</v>
      </c>
      <c r="L179">
        <v>36</v>
      </c>
      <c r="M179">
        <v>125</v>
      </c>
      <c r="N179">
        <v>39</v>
      </c>
      <c r="O179">
        <v>53</v>
      </c>
      <c r="P179">
        <v>84</v>
      </c>
      <c r="Q179">
        <v>81</v>
      </c>
      <c r="R179">
        <v>85</v>
      </c>
      <c r="S179">
        <v>126</v>
      </c>
      <c r="T179">
        <v>69</v>
      </c>
      <c r="U179">
        <v>90</v>
      </c>
      <c r="V179">
        <v>43</v>
      </c>
      <c r="W179">
        <v>602</v>
      </c>
      <c r="X179">
        <v>88</v>
      </c>
      <c r="Y179">
        <v>200</v>
      </c>
      <c r="Z179">
        <v>18</v>
      </c>
      <c r="AA179">
        <v>52</v>
      </c>
      <c r="AB179">
        <v>24</v>
      </c>
      <c r="AC179">
        <v>385</v>
      </c>
      <c r="AD179">
        <v>60</v>
      </c>
      <c r="AE179">
        <v>51</v>
      </c>
      <c r="AF179">
        <v>74</v>
      </c>
    </row>
    <row r="180" spans="1:32" x14ac:dyDescent="0.3">
      <c r="A180">
        <v>2023</v>
      </c>
      <c r="B180">
        <v>9</v>
      </c>
      <c r="C180" t="s">
        <v>43</v>
      </c>
      <c r="D180" t="s">
        <v>33</v>
      </c>
      <c r="E180">
        <v>35</v>
      </c>
      <c r="F180">
        <v>0.76</v>
      </c>
      <c r="G180">
        <f t="shared" si="5"/>
        <v>2.5428571428571427</v>
      </c>
      <c r="H180">
        <v>89</v>
      </c>
      <c r="I180">
        <v>26</v>
      </c>
      <c r="J180">
        <v>57</v>
      </c>
      <c r="K180">
        <v>95</v>
      </c>
      <c r="L180">
        <v>104</v>
      </c>
      <c r="M180">
        <v>35</v>
      </c>
      <c r="N180">
        <v>42</v>
      </c>
      <c r="O180">
        <v>74</v>
      </c>
      <c r="P180">
        <v>45</v>
      </c>
      <c r="Q180">
        <v>47</v>
      </c>
      <c r="R180">
        <v>123</v>
      </c>
      <c r="S180">
        <v>51</v>
      </c>
      <c r="T180">
        <v>131</v>
      </c>
      <c r="U180">
        <v>93</v>
      </c>
      <c r="V180">
        <v>102</v>
      </c>
      <c r="W180">
        <v>149</v>
      </c>
      <c r="X180">
        <v>368</v>
      </c>
      <c r="Y180">
        <v>244</v>
      </c>
      <c r="Z180">
        <v>29</v>
      </c>
      <c r="AA180">
        <v>51</v>
      </c>
      <c r="AB180">
        <v>294</v>
      </c>
      <c r="AC180">
        <v>140</v>
      </c>
      <c r="AD180">
        <v>132</v>
      </c>
      <c r="AE180">
        <v>137</v>
      </c>
      <c r="AF180">
        <v>101</v>
      </c>
    </row>
    <row r="181" spans="1:32" x14ac:dyDescent="0.3">
      <c r="A181">
        <v>2023</v>
      </c>
      <c r="B181">
        <v>9</v>
      </c>
      <c r="C181" t="s">
        <v>43</v>
      </c>
      <c r="D181" t="s">
        <v>32</v>
      </c>
      <c r="E181">
        <v>39</v>
      </c>
      <c r="F181">
        <v>0.68</v>
      </c>
      <c r="G181">
        <f t="shared" si="5"/>
        <v>1.5641025641025641</v>
      </c>
      <c r="H181">
        <v>61</v>
      </c>
      <c r="I181">
        <v>9</v>
      </c>
      <c r="J181">
        <v>64</v>
      </c>
      <c r="K181">
        <v>81</v>
      </c>
      <c r="L181">
        <v>48</v>
      </c>
      <c r="M181">
        <v>44</v>
      </c>
      <c r="N181">
        <v>91</v>
      </c>
      <c r="O181">
        <v>104</v>
      </c>
      <c r="P181">
        <v>89</v>
      </c>
      <c r="Q181">
        <v>104</v>
      </c>
      <c r="R181">
        <v>48</v>
      </c>
      <c r="S181">
        <v>118</v>
      </c>
      <c r="T181">
        <v>116</v>
      </c>
      <c r="U181">
        <v>51</v>
      </c>
      <c r="V181">
        <v>77</v>
      </c>
      <c r="W181">
        <v>36</v>
      </c>
      <c r="X181">
        <v>477</v>
      </c>
      <c r="Y181">
        <v>36</v>
      </c>
      <c r="Z181">
        <v>89</v>
      </c>
      <c r="AA181">
        <v>246</v>
      </c>
      <c r="AB181">
        <v>47</v>
      </c>
      <c r="AC181">
        <v>50</v>
      </c>
      <c r="AD181">
        <v>39</v>
      </c>
      <c r="AE181">
        <v>76</v>
      </c>
      <c r="AF181">
        <v>197</v>
      </c>
    </row>
    <row r="182" spans="1:32" x14ac:dyDescent="0.3">
      <c r="A182">
        <v>2023</v>
      </c>
      <c r="B182">
        <v>10</v>
      </c>
      <c r="C182" t="s">
        <v>44</v>
      </c>
      <c r="D182" t="s">
        <v>36</v>
      </c>
      <c r="E182">
        <v>29</v>
      </c>
      <c r="F182">
        <v>0.33</v>
      </c>
      <c r="G182">
        <f t="shared" si="5"/>
        <v>1.0689655172413792</v>
      </c>
      <c r="H182">
        <v>31</v>
      </c>
      <c r="I182">
        <v>31</v>
      </c>
      <c r="J182">
        <v>87</v>
      </c>
      <c r="K182">
        <v>110</v>
      </c>
      <c r="L182">
        <v>94</v>
      </c>
      <c r="M182">
        <v>129</v>
      </c>
      <c r="N182">
        <v>39</v>
      </c>
      <c r="O182">
        <v>39</v>
      </c>
      <c r="P182">
        <v>126</v>
      </c>
      <c r="Q182">
        <v>53</v>
      </c>
      <c r="R182">
        <v>112</v>
      </c>
      <c r="S182">
        <v>54</v>
      </c>
      <c r="T182">
        <v>40</v>
      </c>
      <c r="U182">
        <v>56</v>
      </c>
      <c r="V182">
        <v>90</v>
      </c>
      <c r="W182">
        <v>32</v>
      </c>
      <c r="X182">
        <v>281</v>
      </c>
      <c r="Y182">
        <v>275</v>
      </c>
      <c r="Z182">
        <v>176</v>
      </c>
      <c r="AA182">
        <v>67</v>
      </c>
      <c r="AB182">
        <v>73</v>
      </c>
      <c r="AC182">
        <v>171</v>
      </c>
      <c r="AD182">
        <v>36</v>
      </c>
      <c r="AE182">
        <v>135</v>
      </c>
      <c r="AF182">
        <v>16</v>
      </c>
    </row>
    <row r="183" spans="1:32" x14ac:dyDescent="0.3">
      <c r="A183">
        <v>2023</v>
      </c>
      <c r="B183">
        <v>10</v>
      </c>
      <c r="C183" t="s">
        <v>44</v>
      </c>
      <c r="D183" t="s">
        <v>33</v>
      </c>
      <c r="E183">
        <v>25</v>
      </c>
      <c r="F183">
        <v>0.6</v>
      </c>
      <c r="G183">
        <f t="shared" si="5"/>
        <v>4.28</v>
      </c>
      <c r="H183">
        <v>107</v>
      </c>
      <c r="I183">
        <v>33</v>
      </c>
      <c r="J183">
        <v>75</v>
      </c>
      <c r="K183">
        <v>50</v>
      </c>
      <c r="L183">
        <v>71</v>
      </c>
      <c r="M183">
        <v>80</v>
      </c>
      <c r="N183">
        <v>86</v>
      </c>
      <c r="O183">
        <v>50</v>
      </c>
      <c r="P183">
        <v>95</v>
      </c>
      <c r="Q183">
        <v>70</v>
      </c>
      <c r="R183">
        <v>114</v>
      </c>
      <c r="S183">
        <v>85</v>
      </c>
      <c r="T183">
        <v>58</v>
      </c>
      <c r="U183">
        <v>54</v>
      </c>
      <c r="V183">
        <v>104</v>
      </c>
      <c r="W183">
        <v>211</v>
      </c>
      <c r="X183">
        <v>397</v>
      </c>
      <c r="Y183">
        <v>80</v>
      </c>
      <c r="Z183">
        <v>60</v>
      </c>
      <c r="AA183">
        <v>175</v>
      </c>
      <c r="AB183">
        <v>104</v>
      </c>
      <c r="AC183">
        <v>254</v>
      </c>
      <c r="AD183">
        <v>71</v>
      </c>
      <c r="AE183">
        <v>164</v>
      </c>
      <c r="AF183">
        <v>231</v>
      </c>
    </row>
    <row r="184" spans="1:32" x14ac:dyDescent="0.3">
      <c r="A184">
        <v>2023</v>
      </c>
      <c r="B184">
        <v>10</v>
      </c>
      <c r="C184" t="s">
        <v>44</v>
      </c>
      <c r="D184" t="s">
        <v>32</v>
      </c>
      <c r="E184">
        <v>62</v>
      </c>
      <c r="F184">
        <v>0.56999999999999995</v>
      </c>
      <c r="G184">
        <f t="shared" si="5"/>
        <v>1.1129032258064515</v>
      </c>
      <c r="H184">
        <v>69</v>
      </c>
      <c r="I184">
        <v>30</v>
      </c>
      <c r="J184">
        <v>47</v>
      </c>
      <c r="K184">
        <v>101</v>
      </c>
      <c r="L184">
        <v>73</v>
      </c>
      <c r="M184">
        <v>51</v>
      </c>
      <c r="N184">
        <v>123</v>
      </c>
      <c r="O184">
        <v>90</v>
      </c>
      <c r="P184">
        <v>66</v>
      </c>
      <c r="Q184">
        <v>53</v>
      </c>
      <c r="R184">
        <v>33</v>
      </c>
      <c r="S184">
        <v>89</v>
      </c>
      <c r="T184">
        <v>71</v>
      </c>
      <c r="U184">
        <v>54</v>
      </c>
      <c r="V184">
        <v>32</v>
      </c>
      <c r="W184">
        <v>22</v>
      </c>
      <c r="X184">
        <v>366</v>
      </c>
      <c r="Y184">
        <v>140</v>
      </c>
      <c r="Z184">
        <v>154</v>
      </c>
      <c r="AA184">
        <v>16</v>
      </c>
      <c r="AB184">
        <v>52</v>
      </c>
      <c r="AC184">
        <v>22</v>
      </c>
      <c r="AD184">
        <v>96</v>
      </c>
      <c r="AE184">
        <v>480</v>
      </c>
      <c r="AF184">
        <v>16</v>
      </c>
    </row>
    <row r="185" spans="1:32" x14ac:dyDescent="0.3">
      <c r="A185">
        <v>2023</v>
      </c>
      <c r="B185">
        <v>10</v>
      </c>
      <c r="C185" t="s">
        <v>44</v>
      </c>
      <c r="D185" t="s">
        <v>36</v>
      </c>
      <c r="E185">
        <v>19</v>
      </c>
      <c r="F185">
        <v>0.68</v>
      </c>
      <c r="G185">
        <f t="shared" si="5"/>
        <v>1.5263157894736843</v>
      </c>
      <c r="H185">
        <v>29</v>
      </c>
      <c r="I185">
        <v>37</v>
      </c>
      <c r="J185">
        <v>48</v>
      </c>
      <c r="K185">
        <v>71</v>
      </c>
      <c r="L185">
        <v>56</v>
      </c>
      <c r="M185">
        <v>65</v>
      </c>
      <c r="N185">
        <v>57</v>
      </c>
      <c r="O185">
        <v>77</v>
      </c>
      <c r="P185">
        <v>83</v>
      </c>
      <c r="Q185">
        <v>84</v>
      </c>
      <c r="R185">
        <v>90</v>
      </c>
      <c r="S185">
        <v>69</v>
      </c>
      <c r="T185">
        <v>60</v>
      </c>
      <c r="U185">
        <v>126</v>
      </c>
      <c r="V185">
        <v>73</v>
      </c>
      <c r="W185">
        <v>137</v>
      </c>
      <c r="X185">
        <v>156</v>
      </c>
      <c r="Y185">
        <v>677</v>
      </c>
      <c r="Z185">
        <v>77</v>
      </c>
      <c r="AA185">
        <v>175</v>
      </c>
      <c r="AB185">
        <v>10</v>
      </c>
      <c r="AC185">
        <v>11</v>
      </c>
      <c r="AD185">
        <v>44</v>
      </c>
      <c r="AE185">
        <v>191</v>
      </c>
      <c r="AF185">
        <v>80</v>
      </c>
    </row>
    <row r="186" spans="1:32" x14ac:dyDescent="0.3">
      <c r="A186">
        <v>2023</v>
      </c>
      <c r="B186">
        <v>11</v>
      </c>
      <c r="C186" t="s">
        <v>45</v>
      </c>
      <c r="D186" t="s">
        <v>34</v>
      </c>
      <c r="E186">
        <v>86</v>
      </c>
      <c r="F186">
        <v>0.66</v>
      </c>
      <c r="G186">
        <f t="shared" si="5"/>
        <v>0.91860465116279066</v>
      </c>
      <c r="H186">
        <v>79</v>
      </c>
      <c r="I186">
        <v>29</v>
      </c>
      <c r="J186">
        <v>68</v>
      </c>
      <c r="K186">
        <v>60</v>
      </c>
      <c r="L186">
        <v>43</v>
      </c>
      <c r="M186">
        <v>55</v>
      </c>
      <c r="N186">
        <v>142</v>
      </c>
      <c r="O186">
        <v>49</v>
      </c>
      <c r="P186">
        <v>103</v>
      </c>
      <c r="Q186">
        <v>96</v>
      </c>
      <c r="R186">
        <v>123</v>
      </c>
      <c r="S186">
        <v>110</v>
      </c>
      <c r="T186">
        <v>53</v>
      </c>
      <c r="U186">
        <v>79</v>
      </c>
      <c r="V186">
        <v>120</v>
      </c>
      <c r="W186">
        <v>212</v>
      </c>
      <c r="X186">
        <v>42</v>
      </c>
      <c r="Y186">
        <v>253</v>
      </c>
      <c r="Z186">
        <v>20</v>
      </c>
      <c r="AA186">
        <v>88</v>
      </c>
      <c r="AB186">
        <v>57</v>
      </c>
      <c r="AC186">
        <v>55</v>
      </c>
      <c r="AD186">
        <v>16</v>
      </c>
      <c r="AE186">
        <v>143</v>
      </c>
      <c r="AF186">
        <v>17</v>
      </c>
    </row>
    <row r="187" spans="1:32" x14ac:dyDescent="0.3">
      <c r="A187">
        <v>2023</v>
      </c>
      <c r="B187">
        <v>11</v>
      </c>
      <c r="C187" t="s">
        <v>45</v>
      </c>
      <c r="D187" t="s">
        <v>36</v>
      </c>
      <c r="E187">
        <v>56</v>
      </c>
      <c r="F187">
        <v>0.62</v>
      </c>
      <c r="G187">
        <f t="shared" si="5"/>
        <v>0.9821428571428571</v>
      </c>
      <c r="H187">
        <v>55</v>
      </c>
      <c r="I187">
        <v>32</v>
      </c>
      <c r="J187">
        <v>86</v>
      </c>
      <c r="K187">
        <v>90</v>
      </c>
      <c r="L187">
        <v>65</v>
      </c>
      <c r="M187">
        <v>80</v>
      </c>
      <c r="N187">
        <v>82</v>
      </c>
      <c r="O187">
        <v>85</v>
      </c>
      <c r="P187">
        <v>113</v>
      </c>
      <c r="Q187">
        <v>76</v>
      </c>
      <c r="R187">
        <v>113</v>
      </c>
      <c r="S187">
        <v>40</v>
      </c>
      <c r="T187">
        <v>38</v>
      </c>
      <c r="U187">
        <v>73</v>
      </c>
      <c r="V187">
        <v>121</v>
      </c>
      <c r="W187">
        <v>76</v>
      </c>
      <c r="X187">
        <v>85</v>
      </c>
      <c r="Y187">
        <v>12</v>
      </c>
      <c r="Z187">
        <v>105</v>
      </c>
      <c r="AA187">
        <v>177</v>
      </c>
      <c r="AB187">
        <v>93</v>
      </c>
      <c r="AC187">
        <v>238</v>
      </c>
      <c r="AD187">
        <v>207</v>
      </c>
      <c r="AE187">
        <v>313</v>
      </c>
      <c r="AF187">
        <v>127</v>
      </c>
    </row>
    <row r="188" spans="1:32" x14ac:dyDescent="0.3">
      <c r="A188">
        <v>2023</v>
      </c>
      <c r="B188">
        <v>11</v>
      </c>
      <c r="C188" t="s">
        <v>45</v>
      </c>
      <c r="D188" t="s">
        <v>32</v>
      </c>
      <c r="E188">
        <v>69</v>
      </c>
      <c r="F188">
        <v>0.38</v>
      </c>
      <c r="G188">
        <f t="shared" si="5"/>
        <v>0.40579710144927539</v>
      </c>
      <c r="H188">
        <v>28</v>
      </c>
      <c r="I188">
        <v>42</v>
      </c>
      <c r="J188">
        <v>93</v>
      </c>
      <c r="K188">
        <v>62</v>
      </c>
      <c r="L188">
        <v>43</v>
      </c>
      <c r="M188">
        <v>100</v>
      </c>
      <c r="N188">
        <v>101</v>
      </c>
      <c r="O188">
        <v>114</v>
      </c>
      <c r="P188">
        <v>93</v>
      </c>
      <c r="Q188">
        <v>72</v>
      </c>
      <c r="R188">
        <v>66</v>
      </c>
      <c r="S188">
        <v>44</v>
      </c>
      <c r="T188">
        <v>59</v>
      </c>
      <c r="U188">
        <v>70</v>
      </c>
      <c r="V188">
        <v>70</v>
      </c>
      <c r="W188">
        <v>231</v>
      </c>
      <c r="X188">
        <v>54</v>
      </c>
      <c r="Y188">
        <v>93</v>
      </c>
      <c r="Z188">
        <v>157</v>
      </c>
      <c r="AA188">
        <v>468</v>
      </c>
      <c r="AB188">
        <v>119</v>
      </c>
      <c r="AC188">
        <v>281</v>
      </c>
      <c r="AD188">
        <v>130</v>
      </c>
      <c r="AE188">
        <v>10</v>
      </c>
      <c r="AF188">
        <v>77</v>
      </c>
    </row>
    <row r="189" spans="1:32" x14ac:dyDescent="0.3">
      <c r="A189">
        <v>2023</v>
      </c>
      <c r="B189">
        <v>11</v>
      </c>
      <c r="C189" t="s">
        <v>45</v>
      </c>
      <c r="D189" t="s">
        <v>32</v>
      </c>
      <c r="E189">
        <v>18</v>
      </c>
      <c r="F189">
        <v>0.67</v>
      </c>
      <c r="G189">
        <f t="shared" si="5"/>
        <v>3.3888888888888888</v>
      </c>
      <c r="H189">
        <v>61</v>
      </c>
      <c r="I189">
        <v>8</v>
      </c>
      <c r="J189">
        <v>51</v>
      </c>
      <c r="K189">
        <v>54</v>
      </c>
      <c r="L189">
        <v>47</v>
      </c>
      <c r="M189">
        <v>71</v>
      </c>
      <c r="N189">
        <v>119</v>
      </c>
      <c r="O189">
        <v>70</v>
      </c>
      <c r="P189">
        <v>75</v>
      </c>
      <c r="Q189">
        <v>71</v>
      </c>
      <c r="R189">
        <v>62</v>
      </c>
      <c r="S189">
        <v>82</v>
      </c>
      <c r="T189">
        <v>42</v>
      </c>
      <c r="U189">
        <v>92</v>
      </c>
      <c r="V189">
        <v>65</v>
      </c>
      <c r="W189">
        <v>18</v>
      </c>
      <c r="X189">
        <v>343</v>
      </c>
      <c r="Y189">
        <v>55</v>
      </c>
      <c r="Z189">
        <v>219</v>
      </c>
      <c r="AA189">
        <v>135</v>
      </c>
      <c r="AB189">
        <v>10</v>
      </c>
      <c r="AC189">
        <v>168</v>
      </c>
      <c r="AD189">
        <v>115</v>
      </c>
      <c r="AE189">
        <v>572</v>
      </c>
      <c r="AF189">
        <v>156</v>
      </c>
    </row>
    <row r="190" spans="1:32" x14ac:dyDescent="0.3">
      <c r="A190">
        <v>2023</v>
      </c>
      <c r="B190">
        <v>12</v>
      </c>
      <c r="C190" t="s">
        <v>46</v>
      </c>
      <c r="D190" t="s">
        <v>33</v>
      </c>
      <c r="E190">
        <v>61</v>
      </c>
      <c r="F190">
        <v>0.3</v>
      </c>
      <c r="G190">
        <f t="shared" si="5"/>
        <v>0.63934426229508201</v>
      </c>
      <c r="H190">
        <v>39</v>
      </c>
      <c r="I190">
        <v>41</v>
      </c>
      <c r="J190">
        <v>69</v>
      </c>
      <c r="K190">
        <v>30</v>
      </c>
      <c r="L190">
        <v>98</v>
      </c>
      <c r="M190">
        <v>85</v>
      </c>
      <c r="N190">
        <v>108</v>
      </c>
      <c r="O190">
        <v>98</v>
      </c>
      <c r="P190">
        <v>66</v>
      </c>
      <c r="Q190">
        <v>48</v>
      </c>
      <c r="R190">
        <v>41</v>
      </c>
      <c r="S190">
        <v>50</v>
      </c>
      <c r="T190">
        <v>82</v>
      </c>
      <c r="U190">
        <v>38</v>
      </c>
      <c r="V190">
        <v>102</v>
      </c>
      <c r="W190">
        <v>31</v>
      </c>
      <c r="X190">
        <v>182</v>
      </c>
      <c r="Y190">
        <v>71</v>
      </c>
      <c r="Z190">
        <v>10</v>
      </c>
      <c r="AA190">
        <v>15</v>
      </c>
      <c r="AB190">
        <v>29</v>
      </c>
      <c r="AC190">
        <v>41</v>
      </c>
      <c r="AD190">
        <v>152</v>
      </c>
      <c r="AE190">
        <v>308</v>
      </c>
      <c r="AF190">
        <v>57</v>
      </c>
    </row>
    <row r="191" spans="1:32" x14ac:dyDescent="0.3">
      <c r="A191">
        <v>2023</v>
      </c>
      <c r="B191">
        <v>12</v>
      </c>
      <c r="C191" t="s">
        <v>46</v>
      </c>
      <c r="D191" t="s">
        <v>33</v>
      </c>
      <c r="E191">
        <v>62</v>
      </c>
      <c r="F191">
        <v>0.73</v>
      </c>
      <c r="G191">
        <f t="shared" si="5"/>
        <v>0.74193548387096775</v>
      </c>
      <c r="H191">
        <v>46</v>
      </c>
      <c r="I191">
        <v>22</v>
      </c>
      <c r="J191">
        <v>90</v>
      </c>
      <c r="K191">
        <v>86</v>
      </c>
      <c r="L191">
        <v>39</v>
      </c>
      <c r="M191">
        <v>84</v>
      </c>
      <c r="N191">
        <v>62</v>
      </c>
      <c r="O191">
        <v>42</v>
      </c>
      <c r="P191">
        <v>82</v>
      </c>
      <c r="Q191">
        <v>61</v>
      </c>
      <c r="R191">
        <v>56</v>
      </c>
      <c r="S191">
        <v>39</v>
      </c>
      <c r="T191">
        <v>104</v>
      </c>
      <c r="U191">
        <v>65</v>
      </c>
      <c r="V191">
        <v>57</v>
      </c>
      <c r="W191">
        <v>72</v>
      </c>
      <c r="X191">
        <v>210</v>
      </c>
      <c r="Y191">
        <v>106</v>
      </c>
      <c r="Z191">
        <v>134</v>
      </c>
      <c r="AA191">
        <v>122</v>
      </c>
      <c r="AB191">
        <v>109</v>
      </c>
      <c r="AC191">
        <v>26</v>
      </c>
      <c r="AD191">
        <v>817</v>
      </c>
      <c r="AE191">
        <v>172</v>
      </c>
      <c r="AF191">
        <v>35</v>
      </c>
    </row>
    <row r="192" spans="1:32" x14ac:dyDescent="0.3">
      <c r="A192">
        <v>2023</v>
      </c>
      <c r="B192">
        <v>12</v>
      </c>
      <c r="C192" t="s">
        <v>46</v>
      </c>
      <c r="D192" t="s">
        <v>33</v>
      </c>
      <c r="E192">
        <v>42</v>
      </c>
      <c r="F192">
        <v>0.66</v>
      </c>
      <c r="G192">
        <f t="shared" si="5"/>
        <v>1.3571428571428572</v>
      </c>
      <c r="H192">
        <v>57</v>
      </c>
      <c r="I192">
        <v>41</v>
      </c>
      <c r="J192">
        <v>57</v>
      </c>
      <c r="K192">
        <v>85</v>
      </c>
      <c r="L192">
        <v>149</v>
      </c>
      <c r="M192">
        <v>78</v>
      </c>
      <c r="N192">
        <v>66</v>
      </c>
      <c r="O192">
        <v>77</v>
      </c>
      <c r="P192">
        <v>120</v>
      </c>
      <c r="Q192">
        <v>29</v>
      </c>
      <c r="R192">
        <v>70</v>
      </c>
      <c r="S192">
        <v>72</v>
      </c>
      <c r="T192">
        <v>87</v>
      </c>
      <c r="U192">
        <v>86</v>
      </c>
      <c r="V192">
        <v>33</v>
      </c>
      <c r="W192">
        <v>28</v>
      </c>
      <c r="X192">
        <v>208</v>
      </c>
      <c r="Y192">
        <v>124</v>
      </c>
      <c r="Z192">
        <v>170</v>
      </c>
      <c r="AA192">
        <v>212</v>
      </c>
      <c r="AB192">
        <v>72</v>
      </c>
      <c r="AC192">
        <v>11</v>
      </c>
      <c r="AD192">
        <v>136</v>
      </c>
      <c r="AE192">
        <v>298</v>
      </c>
      <c r="AF192">
        <v>585</v>
      </c>
    </row>
    <row r="193" spans="1:32" x14ac:dyDescent="0.3">
      <c r="A193">
        <v>2023</v>
      </c>
      <c r="B193">
        <v>12</v>
      </c>
      <c r="C193" t="s">
        <v>46</v>
      </c>
      <c r="D193" t="s">
        <v>36</v>
      </c>
      <c r="E193">
        <v>79</v>
      </c>
      <c r="F193">
        <v>0.34</v>
      </c>
      <c r="G193">
        <f t="shared" si="5"/>
        <v>0.34177215189873417</v>
      </c>
      <c r="H193">
        <v>27</v>
      </c>
      <c r="I193">
        <v>13</v>
      </c>
      <c r="J193">
        <v>39</v>
      </c>
      <c r="K193">
        <v>99</v>
      </c>
      <c r="L193">
        <v>85</v>
      </c>
      <c r="M193">
        <v>54</v>
      </c>
      <c r="N193">
        <v>51</v>
      </c>
      <c r="O193">
        <v>88</v>
      </c>
      <c r="P193">
        <v>85</v>
      </c>
      <c r="Q193">
        <v>62</v>
      </c>
      <c r="R193">
        <v>101</v>
      </c>
      <c r="S193">
        <v>131</v>
      </c>
      <c r="T193">
        <v>118</v>
      </c>
      <c r="U193">
        <v>26</v>
      </c>
      <c r="V193">
        <v>121</v>
      </c>
      <c r="W193">
        <v>144</v>
      </c>
      <c r="X193">
        <v>80</v>
      </c>
      <c r="Y193">
        <v>102</v>
      </c>
      <c r="Z193">
        <v>372</v>
      </c>
      <c r="AA193">
        <v>85</v>
      </c>
      <c r="AB193">
        <v>44</v>
      </c>
      <c r="AC193">
        <v>200</v>
      </c>
      <c r="AD193">
        <v>13</v>
      </c>
      <c r="AE193">
        <v>123</v>
      </c>
      <c r="AF193">
        <v>435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21B9C50-66FA-4297-BD90-E76442BE83D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FC8721A-2F2A-4A62-892F-B95A0375F03D}">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customXml/itemProps3.xml><?xml version="1.0" encoding="utf-8"?>
<ds:datastoreItem xmlns:ds="http://schemas.openxmlformats.org/officeDocument/2006/customXml" ds:itemID="{9F578D11-DB33-458D-90C5-0B6A18022F8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PIVOT</vt:lpstr>
      <vt:lpstr>DASHBOARD</vt:lpstr>
      <vt:lpstr>Data</vt:lpstr>
      <vt:lpstr>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Divya</dc:creator>
  <cp:lastModifiedBy>Divya Singh</cp:lastModifiedBy>
  <dcterms:created xsi:type="dcterms:W3CDTF">2026-05-26T12:28:10Z</dcterms:created>
  <dcterms:modified xsi:type="dcterms:W3CDTF">2026-08-11T23:28:50Z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